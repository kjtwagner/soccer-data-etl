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jwagner/Documents/Brockport WSoccer/"/>
    </mc:Choice>
  </mc:AlternateContent>
  <xr:revisionPtr revIDLastSave="0" documentId="13_ncr:1_{C04AE1B6-4DA3-DD43-976C-71DDB8EBA6FA}" xr6:coauthVersionLast="47" xr6:coauthVersionMax="47" xr10:uidLastSave="{00000000-0000-0000-0000-000000000000}"/>
  <bookViews>
    <workbookView xWindow="360" yWindow="500" windowWidth="25780" windowHeight="14840" activeTab="5" xr2:uid="{5E065280-E19F-4249-94D0-285AFCE15BC9}"/>
  </bookViews>
  <sheets>
    <sheet name="Field Players" sheetId="1" r:id="rId1"/>
    <sheet name="Field Player Totals" sheetId="3" r:id="rId2"/>
    <sheet name="Field Player Goals" sheetId="5" r:id="rId3"/>
    <sheet name="GKs" sheetId="2" r:id="rId4"/>
    <sheet name="GK Totals" sheetId="4" r:id="rId5"/>
    <sheet name="GK Goals Against" sheetId="6" r:id="rId6"/>
  </sheets>
  <definedNames>
    <definedName name="_xlnm._FilterDatabase" localSheetId="0" hidden="1">'Field Players'!$A$7:$Y$36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6" i="6"/>
  <c r="J5" i="6"/>
  <c r="J3" i="4"/>
  <c r="J6" i="4"/>
  <c r="FK10" i="2"/>
  <c r="FK11" i="2"/>
  <c r="FG10" i="2"/>
  <c r="FG11" i="2"/>
  <c r="FC10" i="2"/>
  <c r="FC11" i="2"/>
  <c r="EY10" i="2"/>
  <c r="EY11" i="2"/>
  <c r="FI10" i="2"/>
  <c r="FI11" i="2"/>
  <c r="FI12" i="2"/>
  <c r="FK12" i="2" s="1"/>
  <c r="FI8" i="2"/>
  <c r="FK8" i="2" s="1"/>
  <c r="FE10" i="2"/>
  <c r="FE11" i="2"/>
  <c r="FE12" i="2"/>
  <c r="FG12" i="2" s="1"/>
  <c r="FE8" i="2"/>
  <c r="FG8" i="2" s="1"/>
  <c r="FA10" i="2"/>
  <c r="FA11" i="2"/>
  <c r="FA12" i="2"/>
  <c r="FC12" i="2" s="1"/>
  <c r="FA8" i="2"/>
  <c r="FC8" i="2" s="1"/>
  <c r="EW10" i="2"/>
  <c r="EW11" i="2"/>
  <c r="EW12" i="2"/>
  <c r="EY12" i="2" s="1"/>
  <c r="EW8" i="2"/>
  <c r="EY8" i="2" s="1"/>
  <c r="J26" i="5"/>
  <c r="J21" i="5"/>
  <c r="J2" i="5"/>
  <c r="J27" i="5"/>
  <c r="J16" i="5"/>
  <c r="J11" i="5"/>
  <c r="J18" i="5"/>
  <c r="J25" i="5"/>
  <c r="J14" i="5"/>
  <c r="J23" i="5"/>
  <c r="J22" i="5"/>
  <c r="J24" i="5"/>
  <c r="J19" i="5"/>
  <c r="J12" i="5"/>
  <c r="J7" i="5"/>
  <c r="J8" i="5"/>
  <c r="J15" i="5"/>
  <c r="J13" i="5"/>
  <c r="J30" i="5"/>
  <c r="J10" i="5"/>
  <c r="J4" i="5"/>
  <c r="J28" i="5"/>
  <c r="J9" i="5"/>
  <c r="J29" i="5"/>
  <c r="J20" i="5"/>
  <c r="J18" i="3"/>
  <c r="J16" i="3"/>
  <c r="J2" i="3"/>
  <c r="J29" i="3"/>
  <c r="J15" i="3"/>
  <c r="J20" i="3"/>
  <c r="J30" i="3"/>
  <c r="J13" i="3"/>
  <c r="J21" i="3"/>
  <c r="J28" i="3"/>
  <c r="J22" i="3"/>
  <c r="J24" i="3"/>
  <c r="J3" i="3"/>
  <c r="J14" i="3"/>
  <c r="J11" i="3"/>
  <c r="J25" i="3"/>
  <c r="J10" i="3"/>
  <c r="J27" i="3"/>
  <c r="J9" i="3"/>
  <c r="J26" i="3"/>
  <c r="J23" i="3"/>
  <c r="FK10" i="1"/>
  <c r="FL35" i="1"/>
  <c r="FL22" i="1"/>
  <c r="FL21" i="1"/>
  <c r="FL15" i="1"/>
  <c r="FK9" i="1"/>
  <c r="FK14" i="1"/>
  <c r="FK15" i="1"/>
  <c r="FK21" i="1"/>
  <c r="FK22" i="1"/>
  <c r="FK23" i="1"/>
  <c r="FK25" i="1"/>
  <c r="FK29" i="1"/>
  <c r="FK32" i="1"/>
  <c r="FK35" i="1"/>
  <c r="FK36" i="1"/>
  <c r="FK8" i="1"/>
  <c r="FL8" i="1" s="1"/>
  <c r="FG9" i="1"/>
  <c r="FG10" i="1"/>
  <c r="FL10" i="1" s="1"/>
  <c r="FG13" i="1"/>
  <c r="FG14" i="1"/>
  <c r="FG15" i="1"/>
  <c r="FG21" i="1"/>
  <c r="FG22" i="1"/>
  <c r="FG23" i="1"/>
  <c r="FG25" i="1"/>
  <c r="FG29" i="1"/>
  <c r="FG32" i="1"/>
  <c r="FG35" i="1"/>
  <c r="FG36" i="1"/>
  <c r="FG8" i="1"/>
  <c r="FC9" i="1"/>
  <c r="FC10" i="1"/>
  <c r="FC14" i="1"/>
  <c r="FC15" i="1"/>
  <c r="FC21" i="1"/>
  <c r="FC22" i="1"/>
  <c r="FC23" i="1"/>
  <c r="FC25" i="1"/>
  <c r="FC29" i="1"/>
  <c r="FC32" i="1"/>
  <c r="FC35" i="1"/>
  <c r="FC36" i="1"/>
  <c r="FC8" i="1"/>
  <c r="EY9" i="1"/>
  <c r="EY10" i="1"/>
  <c r="EY14" i="1"/>
  <c r="EY15" i="1"/>
  <c r="EY21" i="1"/>
  <c r="EY22" i="1"/>
  <c r="EY23" i="1"/>
  <c r="EY25" i="1"/>
  <c r="EY29" i="1"/>
  <c r="FL29" i="1" s="1"/>
  <c r="EY32" i="1"/>
  <c r="EY35" i="1"/>
  <c r="EY36" i="1"/>
  <c r="FL36" i="1" s="1"/>
  <c r="EY8" i="1"/>
  <c r="FI9" i="1"/>
  <c r="FI10" i="1"/>
  <c r="FI11" i="1"/>
  <c r="FK11" i="1" s="1"/>
  <c r="FI13" i="1"/>
  <c r="FK13" i="1" s="1"/>
  <c r="FI14" i="1"/>
  <c r="FI15" i="1"/>
  <c r="FI16" i="1"/>
  <c r="FK16" i="1" s="1"/>
  <c r="FI17" i="1"/>
  <c r="FK17" i="1" s="1"/>
  <c r="FI19" i="1"/>
  <c r="FK19" i="1" s="1"/>
  <c r="FI20" i="1"/>
  <c r="FK20" i="1" s="1"/>
  <c r="FI21" i="1"/>
  <c r="FI22" i="1"/>
  <c r="FI23" i="1"/>
  <c r="FI24" i="1"/>
  <c r="FK24" i="1" s="1"/>
  <c r="FI25" i="1"/>
  <c r="FI27" i="1"/>
  <c r="FK27" i="1" s="1"/>
  <c r="FI28" i="1"/>
  <c r="FK28" i="1" s="1"/>
  <c r="FI29" i="1"/>
  <c r="FI30" i="1"/>
  <c r="FK30" i="1" s="1"/>
  <c r="FI32" i="1"/>
  <c r="FI33" i="1"/>
  <c r="FK33" i="1" s="1"/>
  <c r="FI34" i="1"/>
  <c r="FK34" i="1" s="1"/>
  <c r="FI35" i="1"/>
  <c r="FI36" i="1"/>
  <c r="FI8" i="1"/>
  <c r="FE9" i="1"/>
  <c r="FE10" i="1"/>
  <c r="FE11" i="1"/>
  <c r="FG11" i="1" s="1"/>
  <c r="FE13" i="1"/>
  <c r="FE14" i="1"/>
  <c r="FE15" i="1"/>
  <c r="FE16" i="1"/>
  <c r="FG16" i="1" s="1"/>
  <c r="FE17" i="1"/>
  <c r="FG17" i="1" s="1"/>
  <c r="FE19" i="1"/>
  <c r="FG19" i="1" s="1"/>
  <c r="FE20" i="1"/>
  <c r="FG20" i="1" s="1"/>
  <c r="FE21" i="1"/>
  <c r="FE22" i="1"/>
  <c r="FE23" i="1"/>
  <c r="FE24" i="1"/>
  <c r="FG24" i="1" s="1"/>
  <c r="FE25" i="1"/>
  <c r="FE27" i="1"/>
  <c r="FG27" i="1" s="1"/>
  <c r="FE28" i="1"/>
  <c r="FG28" i="1" s="1"/>
  <c r="FE29" i="1"/>
  <c r="FE30" i="1"/>
  <c r="FG30" i="1" s="1"/>
  <c r="FE32" i="1"/>
  <c r="FE33" i="1"/>
  <c r="FG33" i="1" s="1"/>
  <c r="FE34" i="1"/>
  <c r="FG34" i="1" s="1"/>
  <c r="FE35" i="1"/>
  <c r="FE36" i="1"/>
  <c r="FE8" i="1"/>
  <c r="FA9" i="1"/>
  <c r="FA10" i="1"/>
  <c r="FA11" i="1"/>
  <c r="FC11" i="1" s="1"/>
  <c r="FA13" i="1"/>
  <c r="FC13" i="1" s="1"/>
  <c r="FA14" i="1"/>
  <c r="FA15" i="1"/>
  <c r="FA16" i="1"/>
  <c r="FC16" i="1" s="1"/>
  <c r="FA17" i="1"/>
  <c r="FC17" i="1" s="1"/>
  <c r="FA19" i="1"/>
  <c r="FC19" i="1" s="1"/>
  <c r="FA20" i="1"/>
  <c r="FC20" i="1" s="1"/>
  <c r="FA21" i="1"/>
  <c r="FA22" i="1"/>
  <c r="FA23" i="1"/>
  <c r="FA24" i="1"/>
  <c r="FC24" i="1" s="1"/>
  <c r="FA25" i="1"/>
  <c r="FA27" i="1"/>
  <c r="FC27" i="1" s="1"/>
  <c r="FA28" i="1"/>
  <c r="FC28" i="1" s="1"/>
  <c r="FA29" i="1"/>
  <c r="FA30" i="1"/>
  <c r="FC30" i="1" s="1"/>
  <c r="FA32" i="1"/>
  <c r="FA33" i="1"/>
  <c r="FC33" i="1" s="1"/>
  <c r="FA34" i="1"/>
  <c r="FC34" i="1" s="1"/>
  <c r="FA35" i="1"/>
  <c r="FA36" i="1"/>
  <c r="FA8" i="1"/>
  <c r="EW9" i="1"/>
  <c r="EW10" i="1"/>
  <c r="EW11" i="1"/>
  <c r="EY11" i="1" s="1"/>
  <c r="EW13" i="1"/>
  <c r="EY13" i="1" s="1"/>
  <c r="EW14" i="1"/>
  <c r="EW15" i="1"/>
  <c r="EW16" i="1"/>
  <c r="EY16" i="1" s="1"/>
  <c r="EW17" i="1"/>
  <c r="EY17" i="1" s="1"/>
  <c r="EW19" i="1"/>
  <c r="EY19" i="1" s="1"/>
  <c r="EW20" i="1"/>
  <c r="EY20" i="1" s="1"/>
  <c r="EW21" i="1"/>
  <c r="EW22" i="1"/>
  <c r="EW23" i="1"/>
  <c r="EW24" i="1"/>
  <c r="EY24" i="1" s="1"/>
  <c r="EW25" i="1"/>
  <c r="EW27" i="1"/>
  <c r="EY27" i="1" s="1"/>
  <c r="EW28" i="1"/>
  <c r="EY28" i="1" s="1"/>
  <c r="EW29" i="1"/>
  <c r="EW30" i="1"/>
  <c r="EY30" i="1" s="1"/>
  <c r="EW32" i="1"/>
  <c r="EW33" i="1"/>
  <c r="EY33" i="1" s="1"/>
  <c r="EW34" i="1"/>
  <c r="EY34" i="1" s="1"/>
  <c r="EW35" i="1"/>
  <c r="EW36" i="1"/>
  <c r="EW8" i="1"/>
  <c r="I3" i="6"/>
  <c r="I6" i="6"/>
  <c r="I4" i="6"/>
  <c r="ER9" i="2"/>
  <c r="I3" i="4"/>
  <c r="I6" i="4"/>
  <c r="EU8" i="2"/>
  <c r="EU12" i="2"/>
  <c r="ET12" i="2"/>
  <c r="ET8" i="2"/>
  <c r="EP9" i="2"/>
  <c r="EP10" i="2"/>
  <c r="EP12" i="2"/>
  <c r="EP8" i="2"/>
  <c r="EL9" i="2"/>
  <c r="EL10" i="2"/>
  <c r="EL12" i="2"/>
  <c r="EL8" i="2"/>
  <c r="EH9" i="2"/>
  <c r="EH10" i="2"/>
  <c r="EH12" i="2"/>
  <c r="EH8" i="2"/>
  <c r="ED9" i="2"/>
  <c r="ED10" i="2"/>
  <c r="ED12" i="2"/>
  <c r="ED8" i="2"/>
  <c r="ER12" i="2"/>
  <c r="ER8" i="2"/>
  <c r="EN12" i="2"/>
  <c r="EN10" i="2"/>
  <c r="EN8" i="2"/>
  <c r="EJ12" i="2"/>
  <c r="EJ9" i="2"/>
  <c r="EJ8" i="2"/>
  <c r="EF9" i="2"/>
  <c r="EF10" i="2"/>
  <c r="EF8" i="2"/>
  <c r="EB9" i="2"/>
  <c r="EB10" i="2"/>
  <c r="EB12" i="2"/>
  <c r="I26" i="5"/>
  <c r="I21" i="5"/>
  <c r="I2" i="5"/>
  <c r="I27" i="5"/>
  <c r="I16" i="5"/>
  <c r="I18" i="5"/>
  <c r="I25" i="5"/>
  <c r="I14" i="5"/>
  <c r="I5" i="5"/>
  <c r="I23" i="5"/>
  <c r="I22" i="5"/>
  <c r="I24" i="5"/>
  <c r="I19" i="5"/>
  <c r="I7" i="5"/>
  <c r="I3" i="5"/>
  <c r="I15" i="5"/>
  <c r="I13" i="5"/>
  <c r="I30" i="5"/>
  <c r="I10" i="5"/>
  <c r="I17" i="5"/>
  <c r="I28" i="5"/>
  <c r="I9" i="5"/>
  <c r="I29" i="5"/>
  <c r="I20" i="5"/>
  <c r="I18" i="3"/>
  <c r="I16" i="3"/>
  <c r="I2" i="3"/>
  <c r="I20" i="3"/>
  <c r="I7" i="3"/>
  <c r="I22" i="3"/>
  <c r="I24" i="3"/>
  <c r="I5" i="3"/>
  <c r="I25" i="3"/>
  <c r="I17" i="3"/>
  <c r="I26" i="3"/>
  <c r="I23" i="3"/>
  <c r="EU36" i="1"/>
  <c r="EU35" i="1"/>
  <c r="EU31" i="1"/>
  <c r="EU29" i="1"/>
  <c r="EU26" i="1"/>
  <c r="EU22" i="1"/>
  <c r="EU21" i="1"/>
  <c r="EU18" i="1"/>
  <c r="EU15" i="1"/>
  <c r="EU10" i="1"/>
  <c r="EU9" i="1"/>
  <c r="EU8" i="1"/>
  <c r="ET9" i="1"/>
  <c r="ET10" i="1"/>
  <c r="ET15" i="1"/>
  <c r="ET18" i="1"/>
  <c r="ET21" i="1"/>
  <c r="ET22" i="1"/>
  <c r="ET26" i="1"/>
  <c r="ET29" i="1"/>
  <c r="ET31" i="1"/>
  <c r="ET35" i="1"/>
  <c r="ET36" i="1"/>
  <c r="ET8" i="1"/>
  <c r="EP9" i="1"/>
  <c r="EP10" i="1"/>
  <c r="EP15" i="1"/>
  <c r="EP18" i="1"/>
  <c r="EP21" i="1"/>
  <c r="EP22" i="1"/>
  <c r="EP26" i="1"/>
  <c r="EP29" i="1"/>
  <c r="EP31" i="1"/>
  <c r="EP35" i="1"/>
  <c r="EP36" i="1"/>
  <c r="EP8" i="1"/>
  <c r="EL9" i="1"/>
  <c r="EL10" i="1"/>
  <c r="EL15" i="1"/>
  <c r="EL18" i="1"/>
  <c r="EL21" i="1"/>
  <c r="EL22" i="1"/>
  <c r="EL26" i="1"/>
  <c r="EL29" i="1"/>
  <c r="EL31" i="1"/>
  <c r="EL32" i="1"/>
  <c r="EL35" i="1"/>
  <c r="EL36" i="1"/>
  <c r="EL8" i="1"/>
  <c r="EH9" i="1"/>
  <c r="EH10" i="1"/>
  <c r="EH15" i="1"/>
  <c r="EH18" i="1"/>
  <c r="EH21" i="1"/>
  <c r="EH22" i="1"/>
  <c r="EH26" i="1"/>
  <c r="EH29" i="1"/>
  <c r="EH31" i="1"/>
  <c r="EH32" i="1"/>
  <c r="EH35" i="1"/>
  <c r="EH36" i="1"/>
  <c r="EH8" i="1"/>
  <c r="ED9" i="1"/>
  <c r="ED10" i="1"/>
  <c r="ED15" i="1"/>
  <c r="ED18" i="1"/>
  <c r="ED21" i="1"/>
  <c r="ED22" i="1"/>
  <c r="ED26" i="1"/>
  <c r="ED29" i="1"/>
  <c r="ED31" i="1"/>
  <c r="ED32" i="1"/>
  <c r="ED35" i="1"/>
  <c r="ED36" i="1"/>
  <c r="ED8" i="1"/>
  <c r="ER9" i="1"/>
  <c r="ER10" i="1"/>
  <c r="ER11" i="1"/>
  <c r="ET11" i="1" s="1"/>
  <c r="ER13" i="1"/>
  <c r="ET13" i="1" s="1"/>
  <c r="ER15" i="1"/>
  <c r="ER16" i="1"/>
  <c r="ET16" i="1" s="1"/>
  <c r="ER17" i="1"/>
  <c r="ET17" i="1" s="1"/>
  <c r="ER18" i="1"/>
  <c r="ER19" i="1"/>
  <c r="ET19" i="1" s="1"/>
  <c r="ER20" i="1"/>
  <c r="ET20" i="1" s="1"/>
  <c r="ER21" i="1"/>
  <c r="ER22" i="1"/>
  <c r="ER24" i="1"/>
  <c r="ET24" i="1" s="1"/>
  <c r="ER26" i="1"/>
  <c r="ER27" i="1"/>
  <c r="ET27" i="1" s="1"/>
  <c r="ER28" i="1"/>
  <c r="ET28" i="1" s="1"/>
  <c r="ER29" i="1"/>
  <c r="ER30" i="1"/>
  <c r="ET30" i="1" s="1"/>
  <c r="ER31" i="1"/>
  <c r="ER33" i="1"/>
  <c r="ET33" i="1" s="1"/>
  <c r="ER34" i="1"/>
  <c r="ET34" i="1" s="1"/>
  <c r="ER35" i="1"/>
  <c r="ER36" i="1"/>
  <c r="ER8" i="1"/>
  <c r="EN9" i="1"/>
  <c r="EN10" i="1"/>
  <c r="EN11" i="1"/>
  <c r="EP11" i="1" s="1"/>
  <c r="EN13" i="1"/>
  <c r="EP13" i="1" s="1"/>
  <c r="EN15" i="1"/>
  <c r="EN16" i="1"/>
  <c r="EP16" i="1" s="1"/>
  <c r="EN17" i="1"/>
  <c r="EP17" i="1" s="1"/>
  <c r="EN18" i="1"/>
  <c r="EN19" i="1"/>
  <c r="EP19" i="1" s="1"/>
  <c r="EN20" i="1"/>
  <c r="EP20" i="1" s="1"/>
  <c r="EN21" i="1"/>
  <c r="EN22" i="1"/>
  <c r="EN24" i="1"/>
  <c r="EP24" i="1" s="1"/>
  <c r="EN26" i="1"/>
  <c r="EN27" i="1"/>
  <c r="EP27" i="1" s="1"/>
  <c r="EN28" i="1"/>
  <c r="EP28" i="1" s="1"/>
  <c r="EN29" i="1"/>
  <c r="EN30" i="1"/>
  <c r="EP30" i="1" s="1"/>
  <c r="EN31" i="1"/>
  <c r="EN33" i="1"/>
  <c r="EP33" i="1" s="1"/>
  <c r="EN34" i="1"/>
  <c r="EP34" i="1" s="1"/>
  <c r="EN35" i="1"/>
  <c r="EN36" i="1"/>
  <c r="EN8" i="1"/>
  <c r="EJ9" i="1"/>
  <c r="EJ10" i="1"/>
  <c r="EJ11" i="1"/>
  <c r="EL11" i="1" s="1"/>
  <c r="EJ13" i="1"/>
  <c r="EL13" i="1" s="1"/>
  <c r="EJ15" i="1"/>
  <c r="EJ16" i="1"/>
  <c r="EL16" i="1" s="1"/>
  <c r="EJ17" i="1"/>
  <c r="EL17" i="1" s="1"/>
  <c r="EJ18" i="1"/>
  <c r="EJ19" i="1"/>
  <c r="EL19" i="1" s="1"/>
  <c r="EJ20" i="1"/>
  <c r="EL20" i="1" s="1"/>
  <c r="EJ21" i="1"/>
  <c r="EJ22" i="1"/>
  <c r="EJ24" i="1"/>
  <c r="EL24" i="1" s="1"/>
  <c r="EJ26" i="1"/>
  <c r="EJ27" i="1"/>
  <c r="EL27" i="1" s="1"/>
  <c r="EJ28" i="1"/>
  <c r="EL28" i="1" s="1"/>
  <c r="EJ29" i="1"/>
  <c r="EJ30" i="1"/>
  <c r="EL30" i="1" s="1"/>
  <c r="EJ31" i="1"/>
  <c r="EJ32" i="1"/>
  <c r="EJ33" i="1"/>
  <c r="EL33" i="1" s="1"/>
  <c r="EJ34" i="1"/>
  <c r="EL34" i="1" s="1"/>
  <c r="EJ35" i="1"/>
  <c r="EJ36" i="1"/>
  <c r="EJ8" i="1"/>
  <c r="EF9" i="1"/>
  <c r="EF10" i="1"/>
  <c r="EF11" i="1"/>
  <c r="EH11" i="1" s="1"/>
  <c r="EF13" i="1"/>
  <c r="EH13" i="1" s="1"/>
  <c r="EF15" i="1"/>
  <c r="EF16" i="1"/>
  <c r="EH16" i="1" s="1"/>
  <c r="EF17" i="1"/>
  <c r="EH17" i="1" s="1"/>
  <c r="EF18" i="1"/>
  <c r="EF19" i="1"/>
  <c r="EH19" i="1" s="1"/>
  <c r="EF20" i="1"/>
  <c r="EH20" i="1" s="1"/>
  <c r="EF21" i="1"/>
  <c r="EF22" i="1"/>
  <c r="EF24" i="1"/>
  <c r="EH24" i="1" s="1"/>
  <c r="EF26" i="1"/>
  <c r="EF27" i="1"/>
  <c r="EH27" i="1" s="1"/>
  <c r="EF28" i="1"/>
  <c r="EH28" i="1" s="1"/>
  <c r="EF29" i="1"/>
  <c r="EF30" i="1"/>
  <c r="EH30" i="1" s="1"/>
  <c r="EF31" i="1"/>
  <c r="EF32" i="1"/>
  <c r="EF33" i="1"/>
  <c r="EH33" i="1" s="1"/>
  <c r="EF34" i="1"/>
  <c r="EH34" i="1" s="1"/>
  <c r="EF35" i="1"/>
  <c r="EF36" i="1"/>
  <c r="EF8" i="1"/>
  <c r="EB9" i="1"/>
  <c r="EB10" i="1"/>
  <c r="EB11" i="1"/>
  <c r="ED11" i="1" s="1"/>
  <c r="EB13" i="1"/>
  <c r="ED13" i="1" s="1"/>
  <c r="EB15" i="1"/>
  <c r="EB16" i="1"/>
  <c r="ED16" i="1" s="1"/>
  <c r="EB17" i="1"/>
  <c r="ED17" i="1" s="1"/>
  <c r="EB18" i="1"/>
  <c r="EB19" i="1"/>
  <c r="ED19" i="1" s="1"/>
  <c r="EB20" i="1"/>
  <c r="ED20" i="1" s="1"/>
  <c r="EB21" i="1"/>
  <c r="EB22" i="1"/>
  <c r="EB24" i="1"/>
  <c r="ED24" i="1" s="1"/>
  <c r="EB26" i="1"/>
  <c r="EB27" i="1"/>
  <c r="ED27" i="1" s="1"/>
  <c r="EB28" i="1"/>
  <c r="ED28" i="1" s="1"/>
  <c r="EB29" i="1"/>
  <c r="EB30" i="1"/>
  <c r="ED30" i="1" s="1"/>
  <c r="EB31" i="1"/>
  <c r="EB32" i="1"/>
  <c r="EB33" i="1"/>
  <c r="ED33" i="1" s="1"/>
  <c r="EB34" i="1"/>
  <c r="ED34" i="1" s="1"/>
  <c r="EB35" i="1"/>
  <c r="EB36" i="1"/>
  <c r="EB8" i="1"/>
  <c r="H2" i="6"/>
  <c r="H3" i="6"/>
  <c r="H6" i="6"/>
  <c r="H5" i="6"/>
  <c r="H2" i="4"/>
  <c r="H3" i="4"/>
  <c r="H6" i="4"/>
  <c r="H4" i="4"/>
  <c r="DY8" i="2"/>
  <c r="DU12" i="2"/>
  <c r="DQ10" i="2"/>
  <c r="DQ11" i="2"/>
  <c r="DQ12" i="2"/>
  <c r="DQ8" i="2"/>
  <c r="DM10" i="2"/>
  <c r="DM8" i="2"/>
  <c r="DI9" i="2"/>
  <c r="DI10" i="2"/>
  <c r="DI11" i="2"/>
  <c r="DI12" i="2"/>
  <c r="DW9" i="2"/>
  <c r="DY9" i="2" s="1"/>
  <c r="DW10" i="2"/>
  <c r="DY10" i="2" s="1"/>
  <c r="DW11" i="2"/>
  <c r="DY11" i="2" s="1"/>
  <c r="DW12" i="2"/>
  <c r="DY12" i="2" s="1"/>
  <c r="DS9" i="2"/>
  <c r="DU9" i="2" s="1"/>
  <c r="DS10" i="2"/>
  <c r="DU10" i="2" s="1"/>
  <c r="DS11" i="2"/>
  <c r="DU11" i="2" s="1"/>
  <c r="DS8" i="2"/>
  <c r="DU8" i="2" s="1"/>
  <c r="DO10" i="2"/>
  <c r="DO12" i="2"/>
  <c r="DO8" i="2"/>
  <c r="DK11" i="2"/>
  <c r="DM11" i="2" s="1"/>
  <c r="DK12" i="2"/>
  <c r="DM12" i="2" s="1"/>
  <c r="DK8" i="2"/>
  <c r="DG10" i="2"/>
  <c r="DG11" i="2"/>
  <c r="DG12" i="2"/>
  <c r="DG8" i="2"/>
  <c r="DI8" i="2" s="1"/>
  <c r="H26" i="5"/>
  <c r="H21" i="5"/>
  <c r="H2" i="5"/>
  <c r="H27" i="5"/>
  <c r="H6" i="5"/>
  <c r="H16" i="5"/>
  <c r="H11" i="5"/>
  <c r="H18" i="5"/>
  <c r="H25" i="5"/>
  <c r="H14" i="5"/>
  <c r="H5" i="5"/>
  <c r="H23" i="5"/>
  <c r="H22" i="5"/>
  <c r="H24" i="5"/>
  <c r="H19" i="5"/>
  <c r="H12" i="5"/>
  <c r="H7" i="5"/>
  <c r="H8" i="5"/>
  <c r="H3" i="5"/>
  <c r="H15" i="5"/>
  <c r="H13" i="5"/>
  <c r="H10" i="5"/>
  <c r="H17" i="5"/>
  <c r="H4" i="5"/>
  <c r="H28" i="5"/>
  <c r="H9" i="5"/>
  <c r="H29" i="5"/>
  <c r="H20" i="5"/>
  <c r="DY26" i="1"/>
  <c r="DW9" i="1"/>
  <c r="DY9" i="1" s="1"/>
  <c r="DW10" i="1"/>
  <c r="DY10" i="1" s="1"/>
  <c r="DW11" i="1"/>
  <c r="DY11" i="1" s="1"/>
  <c r="DW12" i="1"/>
  <c r="DY12" i="1" s="1"/>
  <c r="DW13" i="1"/>
  <c r="DY13" i="1" s="1"/>
  <c r="DW14" i="1"/>
  <c r="DY14" i="1" s="1"/>
  <c r="DW15" i="1"/>
  <c r="DY15" i="1" s="1"/>
  <c r="DW16" i="1"/>
  <c r="DY16" i="1" s="1"/>
  <c r="DW17" i="1"/>
  <c r="DY17" i="1" s="1"/>
  <c r="DW18" i="1"/>
  <c r="DY18" i="1" s="1"/>
  <c r="DW19" i="1"/>
  <c r="DY19" i="1" s="1"/>
  <c r="DW20" i="1"/>
  <c r="DY20" i="1" s="1"/>
  <c r="DW21" i="1"/>
  <c r="DY21" i="1" s="1"/>
  <c r="DW22" i="1"/>
  <c r="DY22" i="1" s="1"/>
  <c r="DW23" i="1"/>
  <c r="DY23" i="1" s="1"/>
  <c r="DW24" i="1"/>
  <c r="DY24" i="1" s="1"/>
  <c r="DW25" i="1"/>
  <c r="DY25" i="1" s="1"/>
  <c r="DW26" i="1"/>
  <c r="DW27" i="1"/>
  <c r="DY27" i="1" s="1"/>
  <c r="DW28" i="1"/>
  <c r="DY28" i="1" s="1"/>
  <c r="DW30" i="1"/>
  <c r="DY30" i="1" s="1"/>
  <c r="DW31" i="1"/>
  <c r="DY31" i="1" s="1"/>
  <c r="DW32" i="1"/>
  <c r="DY32" i="1" s="1"/>
  <c r="DW33" i="1"/>
  <c r="DY33" i="1" s="1"/>
  <c r="DW34" i="1"/>
  <c r="DY34" i="1" s="1"/>
  <c r="DW35" i="1"/>
  <c r="DY35" i="1" s="1"/>
  <c r="DW36" i="1"/>
  <c r="DY36" i="1" s="1"/>
  <c r="DW8" i="1"/>
  <c r="DY8" i="1" s="1"/>
  <c r="DS9" i="1"/>
  <c r="DU9" i="1" s="1"/>
  <c r="DS10" i="1"/>
  <c r="DU10" i="1" s="1"/>
  <c r="DS11" i="1"/>
  <c r="DU11" i="1" s="1"/>
  <c r="DS12" i="1"/>
  <c r="DU12" i="1" s="1"/>
  <c r="DS13" i="1"/>
  <c r="DU13" i="1" s="1"/>
  <c r="DS14" i="1"/>
  <c r="DU14" i="1" s="1"/>
  <c r="DS15" i="1"/>
  <c r="DU15" i="1" s="1"/>
  <c r="DS16" i="1"/>
  <c r="DU16" i="1" s="1"/>
  <c r="DS17" i="1"/>
  <c r="DU17" i="1" s="1"/>
  <c r="DS18" i="1"/>
  <c r="DU18" i="1" s="1"/>
  <c r="DS19" i="1"/>
  <c r="DU19" i="1" s="1"/>
  <c r="DS20" i="1"/>
  <c r="DU20" i="1" s="1"/>
  <c r="DS21" i="1"/>
  <c r="DU21" i="1" s="1"/>
  <c r="DS22" i="1"/>
  <c r="DU22" i="1" s="1"/>
  <c r="DS23" i="1"/>
  <c r="DU23" i="1" s="1"/>
  <c r="DS24" i="1"/>
  <c r="DU24" i="1" s="1"/>
  <c r="DS25" i="1"/>
  <c r="DU25" i="1" s="1"/>
  <c r="DS26" i="1"/>
  <c r="DU26" i="1" s="1"/>
  <c r="DS27" i="1"/>
  <c r="DU27" i="1" s="1"/>
  <c r="DS28" i="1"/>
  <c r="DU28" i="1" s="1"/>
  <c r="DS30" i="1"/>
  <c r="DU30" i="1" s="1"/>
  <c r="DS31" i="1"/>
  <c r="DU31" i="1" s="1"/>
  <c r="DS32" i="1"/>
  <c r="DU32" i="1" s="1"/>
  <c r="DS33" i="1"/>
  <c r="DU33" i="1" s="1"/>
  <c r="DS34" i="1"/>
  <c r="DU34" i="1" s="1"/>
  <c r="DS35" i="1"/>
  <c r="DU35" i="1" s="1"/>
  <c r="DS36" i="1"/>
  <c r="DU36" i="1" s="1"/>
  <c r="DS8" i="1"/>
  <c r="DU8" i="1" s="1"/>
  <c r="DO9" i="1"/>
  <c r="DQ9" i="1" s="1"/>
  <c r="DO10" i="1"/>
  <c r="DQ10" i="1" s="1"/>
  <c r="DO11" i="1"/>
  <c r="DQ11" i="1" s="1"/>
  <c r="DO12" i="1"/>
  <c r="DQ12" i="1" s="1"/>
  <c r="DO13" i="1"/>
  <c r="DQ13" i="1" s="1"/>
  <c r="DO14" i="1"/>
  <c r="DQ14" i="1" s="1"/>
  <c r="DO15" i="1"/>
  <c r="DQ15" i="1" s="1"/>
  <c r="DO16" i="1"/>
  <c r="DQ16" i="1" s="1"/>
  <c r="DO17" i="1"/>
  <c r="DQ17" i="1" s="1"/>
  <c r="DO18" i="1"/>
  <c r="DQ18" i="1" s="1"/>
  <c r="DO19" i="1"/>
  <c r="DQ19" i="1" s="1"/>
  <c r="DO20" i="1"/>
  <c r="DQ20" i="1" s="1"/>
  <c r="DO21" i="1"/>
  <c r="DQ21" i="1" s="1"/>
  <c r="DO22" i="1"/>
  <c r="DQ22" i="1" s="1"/>
  <c r="DO23" i="1"/>
  <c r="DQ23" i="1" s="1"/>
  <c r="DO24" i="1"/>
  <c r="DQ24" i="1" s="1"/>
  <c r="DO25" i="1"/>
  <c r="DQ25" i="1" s="1"/>
  <c r="DO26" i="1"/>
  <c r="DQ26" i="1" s="1"/>
  <c r="DO27" i="1"/>
  <c r="DQ27" i="1" s="1"/>
  <c r="DO28" i="1"/>
  <c r="DQ28" i="1" s="1"/>
  <c r="DO29" i="1"/>
  <c r="DQ29" i="1" s="1"/>
  <c r="DO30" i="1"/>
  <c r="DQ30" i="1" s="1"/>
  <c r="DO31" i="1"/>
  <c r="DQ31" i="1" s="1"/>
  <c r="DO32" i="1"/>
  <c r="DQ32" i="1" s="1"/>
  <c r="DO33" i="1"/>
  <c r="DQ33" i="1" s="1"/>
  <c r="DO34" i="1"/>
  <c r="DQ34" i="1" s="1"/>
  <c r="DO35" i="1"/>
  <c r="DQ35" i="1" s="1"/>
  <c r="DO36" i="1"/>
  <c r="DQ36" i="1" s="1"/>
  <c r="DO8" i="1"/>
  <c r="DQ8" i="1" s="1"/>
  <c r="DK9" i="1"/>
  <c r="DM9" i="1" s="1"/>
  <c r="DK10" i="1"/>
  <c r="DM10" i="1" s="1"/>
  <c r="DK11" i="1"/>
  <c r="DM11" i="1" s="1"/>
  <c r="DK12" i="1"/>
  <c r="DM12" i="1" s="1"/>
  <c r="DK13" i="1"/>
  <c r="DM13" i="1" s="1"/>
  <c r="DK14" i="1"/>
  <c r="DM14" i="1" s="1"/>
  <c r="DK15" i="1"/>
  <c r="DM15" i="1" s="1"/>
  <c r="DK16" i="1"/>
  <c r="DM16" i="1" s="1"/>
  <c r="DK17" i="1"/>
  <c r="DM17" i="1" s="1"/>
  <c r="DK18" i="1"/>
  <c r="DM18" i="1" s="1"/>
  <c r="DK19" i="1"/>
  <c r="DM19" i="1" s="1"/>
  <c r="DK20" i="1"/>
  <c r="DM20" i="1" s="1"/>
  <c r="DK21" i="1"/>
  <c r="DM21" i="1" s="1"/>
  <c r="DK22" i="1"/>
  <c r="DM22" i="1" s="1"/>
  <c r="DK23" i="1"/>
  <c r="DM23" i="1" s="1"/>
  <c r="DK24" i="1"/>
  <c r="DM24" i="1" s="1"/>
  <c r="DK25" i="1"/>
  <c r="DM25" i="1" s="1"/>
  <c r="DK26" i="1"/>
  <c r="DM26" i="1" s="1"/>
  <c r="DK27" i="1"/>
  <c r="DM27" i="1" s="1"/>
  <c r="DK28" i="1"/>
  <c r="DM28" i="1" s="1"/>
  <c r="DK29" i="1"/>
  <c r="DM29" i="1" s="1"/>
  <c r="DK30" i="1"/>
  <c r="DM30" i="1" s="1"/>
  <c r="DK31" i="1"/>
  <c r="DM31" i="1" s="1"/>
  <c r="DK32" i="1"/>
  <c r="DM32" i="1" s="1"/>
  <c r="DK33" i="1"/>
  <c r="DM33" i="1" s="1"/>
  <c r="DK34" i="1"/>
  <c r="DM34" i="1" s="1"/>
  <c r="DK35" i="1"/>
  <c r="DM35" i="1" s="1"/>
  <c r="DK36" i="1"/>
  <c r="DM36" i="1" s="1"/>
  <c r="DK8" i="1"/>
  <c r="DM8" i="1" s="1"/>
  <c r="DG9" i="1"/>
  <c r="DI9" i="1" s="1"/>
  <c r="DG10" i="1"/>
  <c r="DI10" i="1" s="1"/>
  <c r="DG11" i="1"/>
  <c r="DI11" i="1" s="1"/>
  <c r="DG12" i="1"/>
  <c r="DI12" i="1" s="1"/>
  <c r="DG13" i="1"/>
  <c r="DI13" i="1" s="1"/>
  <c r="DG14" i="1"/>
  <c r="DI14" i="1" s="1"/>
  <c r="DG15" i="1"/>
  <c r="DI15" i="1" s="1"/>
  <c r="DG16" i="1"/>
  <c r="DI16" i="1" s="1"/>
  <c r="DG17" i="1"/>
  <c r="DI17" i="1" s="1"/>
  <c r="DG18" i="1"/>
  <c r="DI18" i="1" s="1"/>
  <c r="DG19" i="1"/>
  <c r="DI19" i="1" s="1"/>
  <c r="DG20" i="1"/>
  <c r="DI20" i="1" s="1"/>
  <c r="DG21" i="1"/>
  <c r="DI21" i="1" s="1"/>
  <c r="DG22" i="1"/>
  <c r="DI22" i="1" s="1"/>
  <c r="DG23" i="1"/>
  <c r="DI23" i="1" s="1"/>
  <c r="DG24" i="1"/>
  <c r="DI24" i="1" s="1"/>
  <c r="DG25" i="1"/>
  <c r="DI25" i="1" s="1"/>
  <c r="DG26" i="1"/>
  <c r="DI26" i="1" s="1"/>
  <c r="DG27" i="1"/>
  <c r="DI27" i="1" s="1"/>
  <c r="DG28" i="1"/>
  <c r="DI28" i="1" s="1"/>
  <c r="DG29" i="1"/>
  <c r="DI29" i="1" s="1"/>
  <c r="DG30" i="1"/>
  <c r="DI30" i="1" s="1"/>
  <c r="DG31" i="1"/>
  <c r="DI31" i="1" s="1"/>
  <c r="DG32" i="1"/>
  <c r="DI32" i="1" s="1"/>
  <c r="DG33" i="1"/>
  <c r="DI33" i="1" s="1"/>
  <c r="DG34" i="1"/>
  <c r="DI34" i="1" s="1"/>
  <c r="DG35" i="1"/>
  <c r="DI35" i="1" s="1"/>
  <c r="DG36" i="1"/>
  <c r="DI36" i="1" s="1"/>
  <c r="DG8" i="1"/>
  <c r="DI8" i="1" s="1"/>
  <c r="G3" i="4"/>
  <c r="G2" i="4"/>
  <c r="G6" i="4"/>
  <c r="G5" i="4"/>
  <c r="G4" i="4"/>
  <c r="G2" i="6"/>
  <c r="G3" i="6"/>
  <c r="G6" i="6"/>
  <c r="G4" i="6"/>
  <c r="G5" i="6"/>
  <c r="DD12" i="2"/>
  <c r="CZ11" i="2"/>
  <c r="CV10" i="2"/>
  <c r="CR9" i="2"/>
  <c r="CN8" i="2"/>
  <c r="DB9" i="2"/>
  <c r="DD9" i="2" s="1"/>
  <c r="DB10" i="2"/>
  <c r="DD10" i="2" s="1"/>
  <c r="DB11" i="2"/>
  <c r="DD11" i="2" s="1"/>
  <c r="DB8" i="2"/>
  <c r="DD8" i="2" s="1"/>
  <c r="CX9" i="2"/>
  <c r="CZ9" i="2" s="1"/>
  <c r="CX10" i="2"/>
  <c r="CZ10" i="2" s="1"/>
  <c r="CX12" i="2"/>
  <c r="CZ12" i="2" s="1"/>
  <c r="CX8" i="2"/>
  <c r="CZ8" i="2" s="1"/>
  <c r="CT9" i="2"/>
  <c r="CV9" i="2" s="1"/>
  <c r="CT11" i="2"/>
  <c r="CV11" i="2" s="1"/>
  <c r="CT12" i="2"/>
  <c r="CV12" i="2" s="1"/>
  <c r="CT8" i="2"/>
  <c r="CV8" i="2" s="1"/>
  <c r="CP10" i="2"/>
  <c r="CR10" i="2" s="1"/>
  <c r="CP11" i="2"/>
  <c r="CR11" i="2" s="1"/>
  <c r="CP12" i="2"/>
  <c r="CR12" i="2" s="1"/>
  <c r="CP8" i="2"/>
  <c r="CR8" i="2" s="1"/>
  <c r="CL9" i="2"/>
  <c r="CN9" i="2" s="1"/>
  <c r="CL10" i="2"/>
  <c r="CN10" i="2" s="1"/>
  <c r="CL11" i="2"/>
  <c r="CN11" i="2" s="1"/>
  <c r="CL12" i="2"/>
  <c r="CN12" i="2" s="1"/>
  <c r="G21" i="5"/>
  <c r="G27" i="5"/>
  <c r="G6" i="5"/>
  <c r="G16" i="5"/>
  <c r="G11" i="5"/>
  <c r="G25" i="5"/>
  <c r="G14" i="5"/>
  <c r="G23" i="5"/>
  <c r="G22" i="5"/>
  <c r="G24" i="5"/>
  <c r="G12" i="5"/>
  <c r="G7" i="5"/>
  <c r="G8" i="5"/>
  <c r="G15" i="5"/>
  <c r="G13" i="5"/>
  <c r="G10" i="5"/>
  <c r="G17" i="5"/>
  <c r="G4" i="5"/>
  <c r="G28" i="5"/>
  <c r="G9" i="5"/>
  <c r="G29" i="5"/>
  <c r="G20" i="5"/>
  <c r="DD9" i="1"/>
  <c r="DD25" i="1"/>
  <c r="DD31" i="1"/>
  <c r="CZ14" i="1"/>
  <c r="CZ36" i="1"/>
  <c r="CV21" i="1"/>
  <c r="CV25" i="1"/>
  <c r="CR32" i="1"/>
  <c r="CN14" i="1"/>
  <c r="CN21" i="1"/>
  <c r="CN31" i="1"/>
  <c r="CN35" i="1"/>
  <c r="DB9" i="1"/>
  <c r="DB11" i="1"/>
  <c r="DD11" i="1" s="1"/>
  <c r="DB12" i="1"/>
  <c r="DD12" i="1" s="1"/>
  <c r="DB13" i="1"/>
  <c r="DD13" i="1" s="1"/>
  <c r="DB14" i="1"/>
  <c r="DD14" i="1" s="1"/>
  <c r="DB16" i="1"/>
  <c r="DD16" i="1" s="1"/>
  <c r="DB17" i="1"/>
  <c r="DD17" i="1" s="1"/>
  <c r="DB19" i="1"/>
  <c r="DD19" i="1" s="1"/>
  <c r="DB20" i="1"/>
  <c r="DD20" i="1" s="1"/>
  <c r="DB21" i="1"/>
  <c r="DD21" i="1" s="1"/>
  <c r="DB23" i="1"/>
  <c r="DD23" i="1" s="1"/>
  <c r="DB24" i="1"/>
  <c r="DD24" i="1" s="1"/>
  <c r="DB25" i="1"/>
  <c r="DB27" i="1"/>
  <c r="DD27" i="1" s="1"/>
  <c r="DB28" i="1"/>
  <c r="DD28" i="1" s="1"/>
  <c r="DB30" i="1"/>
  <c r="DD30" i="1" s="1"/>
  <c r="DB31" i="1"/>
  <c r="DB32" i="1"/>
  <c r="DD32" i="1" s="1"/>
  <c r="DB33" i="1"/>
  <c r="DD33" i="1" s="1"/>
  <c r="DB34" i="1"/>
  <c r="DD34" i="1" s="1"/>
  <c r="DB35" i="1"/>
  <c r="DD35" i="1" s="1"/>
  <c r="DB36" i="1"/>
  <c r="DD36" i="1" s="1"/>
  <c r="CX9" i="1"/>
  <c r="CZ9" i="1" s="1"/>
  <c r="CX11" i="1"/>
  <c r="CZ11" i="1" s="1"/>
  <c r="CX12" i="1"/>
  <c r="CZ12" i="1" s="1"/>
  <c r="CX13" i="1"/>
  <c r="CZ13" i="1" s="1"/>
  <c r="CX14" i="1"/>
  <c r="CX16" i="1"/>
  <c r="CZ16" i="1" s="1"/>
  <c r="CX17" i="1"/>
  <c r="CZ17" i="1" s="1"/>
  <c r="CX19" i="1"/>
  <c r="CZ19" i="1" s="1"/>
  <c r="CX20" i="1"/>
  <c r="CZ20" i="1" s="1"/>
  <c r="CX21" i="1"/>
  <c r="CZ21" i="1" s="1"/>
  <c r="CX23" i="1"/>
  <c r="CZ23" i="1" s="1"/>
  <c r="CX24" i="1"/>
  <c r="CZ24" i="1" s="1"/>
  <c r="CX25" i="1"/>
  <c r="CZ25" i="1" s="1"/>
  <c r="CX27" i="1"/>
  <c r="CZ27" i="1" s="1"/>
  <c r="CX28" i="1"/>
  <c r="CZ28" i="1" s="1"/>
  <c r="CX30" i="1"/>
  <c r="CZ30" i="1" s="1"/>
  <c r="CX31" i="1"/>
  <c r="CZ31" i="1" s="1"/>
  <c r="CX32" i="1"/>
  <c r="CZ32" i="1" s="1"/>
  <c r="CX33" i="1"/>
  <c r="CZ33" i="1" s="1"/>
  <c r="CX34" i="1"/>
  <c r="CZ34" i="1" s="1"/>
  <c r="CX35" i="1"/>
  <c r="CZ35" i="1" s="1"/>
  <c r="CX36" i="1"/>
  <c r="CT9" i="1"/>
  <c r="CV9" i="1" s="1"/>
  <c r="CT11" i="1"/>
  <c r="CV11" i="1" s="1"/>
  <c r="CT12" i="1"/>
  <c r="CV12" i="1" s="1"/>
  <c r="CT13" i="1"/>
  <c r="CV13" i="1" s="1"/>
  <c r="CT14" i="1"/>
  <c r="CV14" i="1" s="1"/>
  <c r="CT16" i="1"/>
  <c r="CV16" i="1" s="1"/>
  <c r="CT17" i="1"/>
  <c r="CV17" i="1" s="1"/>
  <c r="CT19" i="1"/>
  <c r="CV19" i="1" s="1"/>
  <c r="CT20" i="1"/>
  <c r="CV20" i="1" s="1"/>
  <c r="CT21" i="1"/>
  <c r="CT23" i="1"/>
  <c r="CV23" i="1" s="1"/>
  <c r="CT24" i="1"/>
  <c r="CV24" i="1" s="1"/>
  <c r="CT25" i="1"/>
  <c r="CT27" i="1"/>
  <c r="CV27" i="1" s="1"/>
  <c r="CT28" i="1"/>
  <c r="CV28" i="1" s="1"/>
  <c r="CT30" i="1"/>
  <c r="CV30" i="1" s="1"/>
  <c r="CT31" i="1"/>
  <c r="CV31" i="1" s="1"/>
  <c r="CT32" i="1"/>
  <c r="CV32" i="1" s="1"/>
  <c r="CT33" i="1"/>
  <c r="CV33" i="1" s="1"/>
  <c r="CT34" i="1"/>
  <c r="CV34" i="1" s="1"/>
  <c r="CT35" i="1"/>
  <c r="CV35" i="1" s="1"/>
  <c r="CT36" i="1"/>
  <c r="CV36" i="1" s="1"/>
  <c r="CP9" i="1"/>
  <c r="CR9" i="1" s="1"/>
  <c r="CP11" i="1"/>
  <c r="CR11" i="1" s="1"/>
  <c r="CP12" i="1"/>
  <c r="CR12" i="1" s="1"/>
  <c r="CP13" i="1"/>
  <c r="CR13" i="1" s="1"/>
  <c r="CP14" i="1"/>
  <c r="CR14" i="1" s="1"/>
  <c r="CP16" i="1"/>
  <c r="CR16" i="1" s="1"/>
  <c r="CP17" i="1"/>
  <c r="CR17" i="1" s="1"/>
  <c r="CP19" i="1"/>
  <c r="CR19" i="1" s="1"/>
  <c r="CP20" i="1"/>
  <c r="CR20" i="1" s="1"/>
  <c r="CP21" i="1"/>
  <c r="CR21" i="1" s="1"/>
  <c r="CP23" i="1"/>
  <c r="CR23" i="1" s="1"/>
  <c r="CP24" i="1"/>
  <c r="CR24" i="1" s="1"/>
  <c r="CP25" i="1"/>
  <c r="CR25" i="1" s="1"/>
  <c r="CP27" i="1"/>
  <c r="CR27" i="1" s="1"/>
  <c r="CP28" i="1"/>
  <c r="CR28" i="1" s="1"/>
  <c r="CP29" i="1"/>
  <c r="CR29" i="1" s="1"/>
  <c r="CP30" i="1"/>
  <c r="CR30" i="1" s="1"/>
  <c r="CP31" i="1"/>
  <c r="CR31" i="1" s="1"/>
  <c r="CP32" i="1"/>
  <c r="CP33" i="1"/>
  <c r="CR33" i="1" s="1"/>
  <c r="CP34" i="1"/>
  <c r="CR34" i="1" s="1"/>
  <c r="CP35" i="1"/>
  <c r="CR35" i="1" s="1"/>
  <c r="CP36" i="1"/>
  <c r="CR36" i="1" s="1"/>
  <c r="CL9" i="1"/>
  <c r="CN9" i="1" s="1"/>
  <c r="CL11" i="1"/>
  <c r="CN11" i="1" s="1"/>
  <c r="CL12" i="1"/>
  <c r="CN12" i="1" s="1"/>
  <c r="CL13" i="1"/>
  <c r="CN13" i="1" s="1"/>
  <c r="CL14" i="1"/>
  <c r="CL16" i="1"/>
  <c r="CN16" i="1" s="1"/>
  <c r="CL17" i="1"/>
  <c r="CN17" i="1" s="1"/>
  <c r="CL19" i="1"/>
  <c r="CN19" i="1" s="1"/>
  <c r="CL20" i="1"/>
  <c r="CN20" i="1" s="1"/>
  <c r="CL21" i="1"/>
  <c r="CL23" i="1"/>
  <c r="CN23" i="1" s="1"/>
  <c r="CL24" i="1"/>
  <c r="CN24" i="1" s="1"/>
  <c r="CL25" i="1"/>
  <c r="CN25" i="1" s="1"/>
  <c r="CL27" i="1"/>
  <c r="CN27" i="1" s="1"/>
  <c r="CL28" i="1"/>
  <c r="CN28" i="1" s="1"/>
  <c r="CL29" i="1"/>
  <c r="CN29" i="1" s="1"/>
  <c r="CL30" i="1"/>
  <c r="CN30" i="1" s="1"/>
  <c r="CL31" i="1"/>
  <c r="CL32" i="1"/>
  <c r="CN32" i="1" s="1"/>
  <c r="CL33" i="1"/>
  <c r="CN33" i="1" s="1"/>
  <c r="CL34" i="1"/>
  <c r="CN34" i="1" s="1"/>
  <c r="CL35" i="1"/>
  <c r="CL36" i="1"/>
  <c r="CN36" i="1" s="1"/>
  <c r="F6" i="6"/>
  <c r="F4" i="6"/>
  <c r="F5" i="6"/>
  <c r="F2" i="6"/>
  <c r="F3" i="6"/>
  <c r="E6" i="6"/>
  <c r="E5" i="6"/>
  <c r="E3" i="6"/>
  <c r="D6" i="6"/>
  <c r="D4" i="6"/>
  <c r="D2" i="6"/>
  <c r="D3" i="6"/>
  <c r="C6" i="6"/>
  <c r="C4" i="6"/>
  <c r="C5" i="6"/>
  <c r="C3" i="6"/>
  <c r="C2" i="6"/>
  <c r="F26" i="5"/>
  <c r="F2" i="5"/>
  <c r="F27" i="5"/>
  <c r="F6" i="5"/>
  <c r="F16" i="5"/>
  <c r="F11" i="5"/>
  <c r="F25" i="5"/>
  <c r="F14" i="5"/>
  <c r="F23" i="5"/>
  <c r="F22" i="5"/>
  <c r="F12" i="5"/>
  <c r="F7" i="5"/>
  <c r="F8" i="5"/>
  <c r="F3" i="5"/>
  <c r="F15" i="5"/>
  <c r="F13" i="5"/>
  <c r="F30" i="5"/>
  <c r="F10" i="5"/>
  <c r="F4" i="5"/>
  <c r="F28" i="5"/>
  <c r="F9" i="5"/>
  <c r="F29" i="5"/>
  <c r="E26" i="5"/>
  <c r="E21" i="5"/>
  <c r="E2" i="5"/>
  <c r="E27" i="5"/>
  <c r="E6" i="5"/>
  <c r="E16" i="5"/>
  <c r="E18" i="5"/>
  <c r="E25" i="5"/>
  <c r="E14" i="5"/>
  <c r="E5" i="5"/>
  <c r="E23" i="5"/>
  <c r="E22" i="5"/>
  <c r="E24" i="5"/>
  <c r="E12" i="5"/>
  <c r="E7" i="5"/>
  <c r="E3" i="5"/>
  <c r="E15" i="5"/>
  <c r="E13" i="5"/>
  <c r="E30" i="5"/>
  <c r="E10" i="5"/>
  <c r="E17" i="5"/>
  <c r="E28" i="5"/>
  <c r="E9" i="5"/>
  <c r="D2" i="5"/>
  <c r="D27" i="5"/>
  <c r="D6" i="5"/>
  <c r="D16" i="5"/>
  <c r="D11" i="5"/>
  <c r="D18" i="5"/>
  <c r="D25" i="5"/>
  <c r="D14" i="5"/>
  <c r="D5" i="5"/>
  <c r="D23" i="5"/>
  <c r="D22" i="5"/>
  <c r="D24" i="5"/>
  <c r="D19" i="5"/>
  <c r="D12" i="5"/>
  <c r="D7" i="5"/>
  <c r="D8" i="5"/>
  <c r="D3" i="5"/>
  <c r="D15" i="5"/>
  <c r="D13" i="5"/>
  <c r="D10" i="5"/>
  <c r="D17" i="5"/>
  <c r="D28" i="5"/>
  <c r="D9" i="5"/>
  <c r="D20" i="5"/>
  <c r="C26" i="5"/>
  <c r="C21" i="5"/>
  <c r="C2" i="5"/>
  <c r="C27" i="5"/>
  <c r="C6" i="5"/>
  <c r="C16" i="5"/>
  <c r="C11" i="5"/>
  <c r="C18" i="5"/>
  <c r="C25" i="5"/>
  <c r="C14" i="5"/>
  <c r="C5" i="5"/>
  <c r="C23" i="5"/>
  <c r="C22" i="5"/>
  <c r="C24" i="5"/>
  <c r="C19" i="5"/>
  <c r="C12" i="5"/>
  <c r="C7" i="5"/>
  <c r="C8" i="5"/>
  <c r="C3" i="5"/>
  <c r="C15" i="5"/>
  <c r="C13" i="5"/>
  <c r="C30" i="5"/>
  <c r="C10" i="5"/>
  <c r="C17" i="5"/>
  <c r="C4" i="5"/>
  <c r="C28" i="5"/>
  <c r="C9" i="5"/>
  <c r="C29" i="5"/>
  <c r="C20" i="5"/>
  <c r="F3" i="4"/>
  <c r="F2" i="4"/>
  <c r="F6" i="4"/>
  <c r="F5" i="4"/>
  <c r="F4" i="4"/>
  <c r="CI9" i="2"/>
  <c r="CI10" i="2"/>
  <c r="CI11" i="2"/>
  <c r="CI12" i="2"/>
  <c r="CI8" i="2"/>
  <c r="CE9" i="2"/>
  <c r="CE10" i="2"/>
  <c r="CJ10" i="2" s="1"/>
  <c r="CE11" i="2"/>
  <c r="CJ11" i="2" s="1"/>
  <c r="CE12" i="2"/>
  <c r="CE8" i="2"/>
  <c r="CA9" i="2"/>
  <c r="CA10" i="2"/>
  <c r="CA11" i="2"/>
  <c r="CA12" i="2"/>
  <c r="CA8" i="2"/>
  <c r="BW9" i="2"/>
  <c r="CJ9" i="2" s="1"/>
  <c r="BW10" i="2"/>
  <c r="BW11" i="2"/>
  <c r="BW12" i="2"/>
  <c r="BW8" i="2"/>
  <c r="BS9" i="2"/>
  <c r="BS10" i="2"/>
  <c r="BS11" i="2"/>
  <c r="BS12" i="2"/>
  <c r="BS8" i="2"/>
  <c r="CG9" i="2"/>
  <c r="CG11" i="2"/>
  <c r="CG12" i="2"/>
  <c r="CG8" i="2"/>
  <c r="CC10" i="2"/>
  <c r="CC11" i="2"/>
  <c r="CC12" i="2"/>
  <c r="CC8" i="2"/>
  <c r="BY9" i="2"/>
  <c r="BY10" i="2"/>
  <c r="BY12" i="2"/>
  <c r="BY8" i="2"/>
  <c r="BU9" i="2"/>
  <c r="BU10" i="2"/>
  <c r="BU11" i="2"/>
  <c r="BU8" i="2"/>
  <c r="BQ10" i="2"/>
  <c r="BQ11" i="2"/>
  <c r="BQ12" i="2"/>
  <c r="BQ9" i="2"/>
  <c r="CG10" i="1"/>
  <c r="CI10" i="1" s="1"/>
  <c r="CG11" i="1"/>
  <c r="CI11" i="1" s="1"/>
  <c r="CG12" i="1"/>
  <c r="CI12" i="1" s="1"/>
  <c r="CG13" i="1"/>
  <c r="CI13" i="1" s="1"/>
  <c r="CG14" i="1"/>
  <c r="CI14" i="1" s="1"/>
  <c r="CG16" i="1"/>
  <c r="CI16" i="1" s="1"/>
  <c r="CG17" i="1"/>
  <c r="CI17" i="1" s="1"/>
  <c r="CG19" i="1"/>
  <c r="CI19" i="1" s="1"/>
  <c r="CG20" i="1"/>
  <c r="CI20" i="1" s="1"/>
  <c r="CG23" i="1"/>
  <c r="CI23" i="1" s="1"/>
  <c r="CG24" i="1"/>
  <c r="CI24" i="1" s="1"/>
  <c r="CG25" i="1"/>
  <c r="CI25" i="1" s="1"/>
  <c r="CG26" i="1"/>
  <c r="CI26" i="1" s="1"/>
  <c r="CG27" i="1"/>
  <c r="CI27" i="1" s="1"/>
  <c r="CG28" i="1"/>
  <c r="CI28" i="1" s="1"/>
  <c r="CG29" i="1"/>
  <c r="CI29" i="1" s="1"/>
  <c r="CG30" i="1"/>
  <c r="CI30" i="1" s="1"/>
  <c r="CG32" i="1"/>
  <c r="CI32" i="1" s="1"/>
  <c r="CG33" i="1"/>
  <c r="CI33" i="1" s="1"/>
  <c r="CG34" i="1"/>
  <c r="CI34" i="1" s="1"/>
  <c r="CG35" i="1"/>
  <c r="CI35" i="1" s="1"/>
  <c r="CG8" i="1"/>
  <c r="CI8" i="1" s="1"/>
  <c r="CC10" i="1"/>
  <c r="CE10" i="1" s="1"/>
  <c r="CC11" i="1"/>
  <c r="CE11" i="1" s="1"/>
  <c r="CC12" i="1"/>
  <c r="CE12" i="1" s="1"/>
  <c r="CC13" i="1"/>
  <c r="CE13" i="1" s="1"/>
  <c r="CC14" i="1"/>
  <c r="CE14" i="1" s="1"/>
  <c r="CC16" i="1"/>
  <c r="CE16" i="1" s="1"/>
  <c r="CC17" i="1"/>
  <c r="CE17" i="1" s="1"/>
  <c r="CC19" i="1"/>
  <c r="CE19" i="1" s="1"/>
  <c r="CC20" i="1"/>
  <c r="CE20" i="1" s="1"/>
  <c r="CC23" i="1"/>
  <c r="CE23" i="1" s="1"/>
  <c r="CC24" i="1"/>
  <c r="CE24" i="1" s="1"/>
  <c r="CC25" i="1"/>
  <c r="CE25" i="1" s="1"/>
  <c r="CC26" i="1"/>
  <c r="CE26" i="1" s="1"/>
  <c r="CC27" i="1"/>
  <c r="CE27" i="1" s="1"/>
  <c r="CC28" i="1"/>
  <c r="CE28" i="1" s="1"/>
  <c r="CC29" i="1"/>
  <c r="CE29" i="1" s="1"/>
  <c r="CC30" i="1"/>
  <c r="CE30" i="1" s="1"/>
  <c r="CC32" i="1"/>
  <c r="CE32" i="1" s="1"/>
  <c r="CC33" i="1"/>
  <c r="CE33" i="1" s="1"/>
  <c r="CC34" i="1"/>
  <c r="CE34" i="1" s="1"/>
  <c r="CC35" i="1"/>
  <c r="CE35" i="1" s="1"/>
  <c r="CC8" i="1"/>
  <c r="CE8" i="1" s="1"/>
  <c r="BY10" i="1"/>
  <c r="CA10" i="1" s="1"/>
  <c r="BY11" i="1"/>
  <c r="CA11" i="1" s="1"/>
  <c r="BY12" i="1"/>
  <c r="CA12" i="1" s="1"/>
  <c r="BY13" i="1"/>
  <c r="CA13" i="1" s="1"/>
  <c r="BY14" i="1"/>
  <c r="CA14" i="1" s="1"/>
  <c r="BY15" i="1"/>
  <c r="CA15" i="1" s="1"/>
  <c r="BY16" i="1"/>
  <c r="CA16" i="1" s="1"/>
  <c r="BY17" i="1"/>
  <c r="CA17" i="1" s="1"/>
  <c r="BY19" i="1"/>
  <c r="CA19" i="1" s="1"/>
  <c r="BY20" i="1"/>
  <c r="CA20" i="1" s="1"/>
  <c r="BY23" i="1"/>
  <c r="CA23" i="1" s="1"/>
  <c r="BY24" i="1"/>
  <c r="CA24" i="1" s="1"/>
  <c r="BY25" i="1"/>
  <c r="CA25" i="1" s="1"/>
  <c r="BY26" i="1"/>
  <c r="CA26" i="1" s="1"/>
  <c r="BY27" i="1"/>
  <c r="CA27" i="1" s="1"/>
  <c r="BY28" i="1"/>
  <c r="CA28" i="1" s="1"/>
  <c r="BY29" i="1"/>
  <c r="CA29" i="1" s="1"/>
  <c r="BY30" i="1"/>
  <c r="CA30" i="1" s="1"/>
  <c r="BY32" i="1"/>
  <c r="CA32" i="1" s="1"/>
  <c r="BY33" i="1"/>
  <c r="CA33" i="1" s="1"/>
  <c r="BY34" i="1"/>
  <c r="CA34" i="1" s="1"/>
  <c r="BY35" i="1"/>
  <c r="CA35" i="1" s="1"/>
  <c r="BY8" i="1"/>
  <c r="CA8" i="1" s="1"/>
  <c r="BU10" i="1"/>
  <c r="BW10" i="1" s="1"/>
  <c r="BU11" i="1"/>
  <c r="BW11" i="1" s="1"/>
  <c r="BU12" i="1"/>
  <c r="BW12" i="1" s="1"/>
  <c r="BU13" i="1"/>
  <c r="BW13" i="1" s="1"/>
  <c r="BU14" i="1"/>
  <c r="BW14" i="1" s="1"/>
  <c r="BU15" i="1"/>
  <c r="BW15" i="1" s="1"/>
  <c r="BU16" i="1"/>
  <c r="BW16" i="1" s="1"/>
  <c r="BU17" i="1"/>
  <c r="BW17" i="1" s="1"/>
  <c r="BU19" i="1"/>
  <c r="BW19" i="1" s="1"/>
  <c r="BU20" i="1"/>
  <c r="BW20" i="1" s="1"/>
  <c r="BU23" i="1"/>
  <c r="BW23" i="1" s="1"/>
  <c r="BU24" i="1"/>
  <c r="BW24" i="1" s="1"/>
  <c r="BU25" i="1"/>
  <c r="BW25" i="1" s="1"/>
  <c r="BU26" i="1"/>
  <c r="BW26" i="1" s="1"/>
  <c r="BU27" i="1"/>
  <c r="BW27" i="1" s="1"/>
  <c r="BU28" i="1"/>
  <c r="BW28" i="1" s="1"/>
  <c r="BU29" i="1"/>
  <c r="BW29" i="1" s="1"/>
  <c r="BU30" i="1"/>
  <c r="BW30" i="1" s="1"/>
  <c r="BU32" i="1"/>
  <c r="BW32" i="1" s="1"/>
  <c r="BU33" i="1"/>
  <c r="BW33" i="1" s="1"/>
  <c r="BU34" i="1"/>
  <c r="BW34" i="1" s="1"/>
  <c r="BU35" i="1"/>
  <c r="BW35" i="1" s="1"/>
  <c r="BU8" i="1"/>
  <c r="BW8" i="1" s="1"/>
  <c r="BQ10" i="1"/>
  <c r="BS10" i="1" s="1"/>
  <c r="BQ11" i="1"/>
  <c r="BS11" i="1" s="1"/>
  <c r="BQ12" i="1"/>
  <c r="BS12" i="1" s="1"/>
  <c r="BQ13" i="1"/>
  <c r="BS13" i="1" s="1"/>
  <c r="BQ14" i="1"/>
  <c r="BS14" i="1" s="1"/>
  <c r="BQ15" i="1"/>
  <c r="BS15" i="1" s="1"/>
  <c r="BQ16" i="1"/>
  <c r="BS16" i="1" s="1"/>
  <c r="BQ17" i="1"/>
  <c r="BS17" i="1" s="1"/>
  <c r="BQ19" i="1"/>
  <c r="BS19" i="1" s="1"/>
  <c r="BQ20" i="1"/>
  <c r="BS20" i="1" s="1"/>
  <c r="BQ23" i="1"/>
  <c r="BS23" i="1" s="1"/>
  <c r="BQ24" i="1"/>
  <c r="BS24" i="1" s="1"/>
  <c r="BQ25" i="1"/>
  <c r="BS25" i="1" s="1"/>
  <c r="BQ26" i="1"/>
  <c r="BS26" i="1" s="1"/>
  <c r="BQ27" i="1"/>
  <c r="BS27" i="1" s="1"/>
  <c r="BQ28" i="1"/>
  <c r="BS28" i="1" s="1"/>
  <c r="BQ29" i="1"/>
  <c r="BS29" i="1" s="1"/>
  <c r="BQ30" i="1"/>
  <c r="BS30" i="1" s="1"/>
  <c r="BQ32" i="1"/>
  <c r="BS32" i="1" s="1"/>
  <c r="BQ33" i="1"/>
  <c r="BS33" i="1" s="1"/>
  <c r="BQ34" i="1"/>
  <c r="BS34" i="1" s="1"/>
  <c r="BQ35" i="1"/>
  <c r="BS35" i="1" s="1"/>
  <c r="BQ8" i="1"/>
  <c r="BS8" i="1" s="1"/>
  <c r="E16" i="3"/>
  <c r="E25" i="3"/>
  <c r="E18" i="3"/>
  <c r="BN13" i="2"/>
  <c r="BN10" i="2"/>
  <c r="BN8" i="2"/>
  <c r="BJ13" i="2"/>
  <c r="BJ12" i="2"/>
  <c r="BJ10" i="2"/>
  <c r="BJ8" i="2"/>
  <c r="BF8" i="2"/>
  <c r="BF13" i="2"/>
  <c r="BF12" i="2"/>
  <c r="BB13" i="2"/>
  <c r="BB12" i="2"/>
  <c r="BB10" i="2"/>
  <c r="BB8" i="2"/>
  <c r="BN12" i="2"/>
  <c r="BF10" i="2"/>
  <c r="AX10" i="2"/>
  <c r="AX12" i="2"/>
  <c r="AX13" i="2"/>
  <c r="AX8" i="2"/>
  <c r="BL13" i="2"/>
  <c r="BL10" i="2"/>
  <c r="BL8" i="2"/>
  <c r="BH13" i="2"/>
  <c r="BH12" i="2"/>
  <c r="BH10" i="2"/>
  <c r="BH8" i="2"/>
  <c r="BD13" i="2"/>
  <c r="BD12" i="2"/>
  <c r="BD8" i="2"/>
  <c r="AZ13" i="2"/>
  <c r="AZ12" i="2"/>
  <c r="AZ10" i="2"/>
  <c r="AZ8" i="2"/>
  <c r="AV13" i="2"/>
  <c r="AV12" i="2"/>
  <c r="AV10" i="2"/>
  <c r="BJ9" i="1"/>
  <c r="BB9" i="1"/>
  <c r="BL9" i="1"/>
  <c r="BN9" i="1" s="1"/>
  <c r="BL10" i="1"/>
  <c r="BN10" i="1" s="1"/>
  <c r="BL11" i="1"/>
  <c r="BN11" i="1" s="1"/>
  <c r="BL12" i="1"/>
  <c r="BN12" i="1" s="1"/>
  <c r="BL13" i="1"/>
  <c r="BN13" i="1" s="1"/>
  <c r="BL15" i="1"/>
  <c r="BN15" i="1" s="1"/>
  <c r="BL16" i="1"/>
  <c r="BN16" i="1" s="1"/>
  <c r="BL17" i="1"/>
  <c r="BN17" i="1" s="1"/>
  <c r="BL18" i="1"/>
  <c r="BN18" i="1" s="1"/>
  <c r="BL19" i="1"/>
  <c r="BN19" i="1" s="1"/>
  <c r="BL20" i="1"/>
  <c r="BN20" i="1" s="1"/>
  <c r="BL21" i="1"/>
  <c r="BN21" i="1" s="1"/>
  <c r="BL22" i="1"/>
  <c r="BN22" i="1" s="1"/>
  <c r="BL23" i="1"/>
  <c r="BN23" i="1" s="1"/>
  <c r="BL24" i="1"/>
  <c r="BN24" i="1" s="1"/>
  <c r="BL26" i="1"/>
  <c r="BN26" i="1" s="1"/>
  <c r="BL27" i="1"/>
  <c r="BN27" i="1" s="1"/>
  <c r="BL28" i="1"/>
  <c r="BN28" i="1" s="1"/>
  <c r="BL29" i="1"/>
  <c r="BN29" i="1" s="1"/>
  <c r="BL30" i="1"/>
  <c r="BN30" i="1" s="1"/>
  <c r="BL31" i="1"/>
  <c r="BN31" i="1" s="1"/>
  <c r="BL33" i="1"/>
  <c r="BN33" i="1" s="1"/>
  <c r="BL34" i="1"/>
  <c r="BN34" i="1" s="1"/>
  <c r="BL8" i="1"/>
  <c r="BN8" i="1" s="1"/>
  <c r="BH9" i="1"/>
  <c r="BH10" i="1"/>
  <c r="BJ10" i="1" s="1"/>
  <c r="BH11" i="1"/>
  <c r="BJ11" i="1" s="1"/>
  <c r="BH12" i="1"/>
  <c r="BJ12" i="1" s="1"/>
  <c r="BH13" i="1"/>
  <c r="BJ13" i="1" s="1"/>
  <c r="BH15" i="1"/>
  <c r="BJ15" i="1" s="1"/>
  <c r="BH16" i="1"/>
  <c r="BJ16" i="1" s="1"/>
  <c r="BH17" i="1"/>
  <c r="BJ17" i="1" s="1"/>
  <c r="BH18" i="1"/>
  <c r="BJ18" i="1" s="1"/>
  <c r="BH19" i="1"/>
  <c r="BJ19" i="1" s="1"/>
  <c r="BH20" i="1"/>
  <c r="BJ20" i="1" s="1"/>
  <c r="BH21" i="1"/>
  <c r="BJ21" i="1" s="1"/>
  <c r="BH22" i="1"/>
  <c r="BJ22" i="1" s="1"/>
  <c r="BH23" i="1"/>
  <c r="BJ23" i="1" s="1"/>
  <c r="BH24" i="1"/>
  <c r="BJ24" i="1" s="1"/>
  <c r="BH26" i="1"/>
  <c r="BJ26" i="1" s="1"/>
  <c r="BH27" i="1"/>
  <c r="BJ27" i="1" s="1"/>
  <c r="BH28" i="1"/>
  <c r="BJ28" i="1" s="1"/>
  <c r="BH29" i="1"/>
  <c r="BJ29" i="1" s="1"/>
  <c r="BH30" i="1"/>
  <c r="BJ30" i="1" s="1"/>
  <c r="BH31" i="1"/>
  <c r="BJ31" i="1" s="1"/>
  <c r="BH32" i="1"/>
  <c r="BJ32" i="1" s="1"/>
  <c r="BH33" i="1"/>
  <c r="BJ33" i="1" s="1"/>
  <c r="BH34" i="1"/>
  <c r="BJ34" i="1" s="1"/>
  <c r="BH8" i="1"/>
  <c r="BJ8" i="1" s="1"/>
  <c r="BD9" i="1"/>
  <c r="BF9" i="1" s="1"/>
  <c r="BD10" i="1"/>
  <c r="BF10" i="1" s="1"/>
  <c r="BD11" i="1"/>
  <c r="BF11" i="1" s="1"/>
  <c r="BD12" i="1"/>
  <c r="BF12" i="1" s="1"/>
  <c r="BD13" i="1"/>
  <c r="BF13" i="1" s="1"/>
  <c r="BD15" i="1"/>
  <c r="BF15" i="1" s="1"/>
  <c r="BD16" i="1"/>
  <c r="BF16" i="1" s="1"/>
  <c r="BD17" i="1"/>
  <c r="BF17" i="1" s="1"/>
  <c r="BD18" i="1"/>
  <c r="BF18" i="1" s="1"/>
  <c r="BD19" i="1"/>
  <c r="BF19" i="1" s="1"/>
  <c r="BD20" i="1"/>
  <c r="BF20" i="1" s="1"/>
  <c r="BD21" i="1"/>
  <c r="BF21" i="1" s="1"/>
  <c r="BD22" i="1"/>
  <c r="BF22" i="1" s="1"/>
  <c r="BD23" i="1"/>
  <c r="BF23" i="1" s="1"/>
  <c r="BD24" i="1"/>
  <c r="BF24" i="1" s="1"/>
  <c r="BD26" i="1"/>
  <c r="BF26" i="1" s="1"/>
  <c r="BD27" i="1"/>
  <c r="BF27" i="1" s="1"/>
  <c r="BD28" i="1"/>
  <c r="BF28" i="1" s="1"/>
  <c r="BD29" i="1"/>
  <c r="BF29" i="1" s="1"/>
  <c r="BD30" i="1"/>
  <c r="BF30" i="1" s="1"/>
  <c r="BD31" i="1"/>
  <c r="BF31" i="1" s="1"/>
  <c r="BD32" i="1"/>
  <c r="BF32" i="1" s="1"/>
  <c r="BD33" i="1"/>
  <c r="BF33" i="1" s="1"/>
  <c r="BD34" i="1"/>
  <c r="BF34" i="1" s="1"/>
  <c r="BD8" i="1"/>
  <c r="BF8" i="1" s="1"/>
  <c r="AZ9" i="1"/>
  <c r="AZ10" i="1"/>
  <c r="BB10" i="1" s="1"/>
  <c r="AZ11" i="1"/>
  <c r="BB11" i="1" s="1"/>
  <c r="AZ12" i="1"/>
  <c r="BB12" i="1" s="1"/>
  <c r="AZ13" i="1"/>
  <c r="BB13" i="1" s="1"/>
  <c r="AZ15" i="1"/>
  <c r="BB15" i="1" s="1"/>
  <c r="AZ16" i="1"/>
  <c r="BB16" i="1" s="1"/>
  <c r="AZ17" i="1"/>
  <c r="BB17" i="1" s="1"/>
  <c r="AZ18" i="1"/>
  <c r="BB18" i="1" s="1"/>
  <c r="AZ19" i="1"/>
  <c r="BB19" i="1" s="1"/>
  <c r="AZ20" i="1"/>
  <c r="BB20" i="1" s="1"/>
  <c r="AZ21" i="1"/>
  <c r="BB21" i="1" s="1"/>
  <c r="AZ22" i="1"/>
  <c r="BB22" i="1" s="1"/>
  <c r="AZ23" i="1"/>
  <c r="BB23" i="1" s="1"/>
  <c r="AZ24" i="1"/>
  <c r="BB24" i="1" s="1"/>
  <c r="AZ26" i="1"/>
  <c r="BB26" i="1" s="1"/>
  <c r="AZ27" i="1"/>
  <c r="BB27" i="1" s="1"/>
  <c r="AZ28" i="1"/>
  <c r="BB28" i="1" s="1"/>
  <c r="AZ29" i="1"/>
  <c r="BB29" i="1" s="1"/>
  <c r="AZ30" i="1"/>
  <c r="BB30" i="1" s="1"/>
  <c r="AZ31" i="1"/>
  <c r="BB31" i="1" s="1"/>
  <c r="AZ32" i="1"/>
  <c r="BB32" i="1" s="1"/>
  <c r="AZ33" i="1"/>
  <c r="BB33" i="1" s="1"/>
  <c r="AZ34" i="1"/>
  <c r="BB34" i="1" s="1"/>
  <c r="AZ8" i="1"/>
  <c r="BB8" i="1" s="1"/>
  <c r="AV9" i="1"/>
  <c r="AX9" i="1" s="1"/>
  <c r="AV10" i="1"/>
  <c r="AX10" i="1" s="1"/>
  <c r="AV11" i="1"/>
  <c r="AX11" i="1" s="1"/>
  <c r="AV12" i="1"/>
  <c r="AX12" i="1" s="1"/>
  <c r="AV13" i="1"/>
  <c r="AX13" i="1" s="1"/>
  <c r="AV15" i="1"/>
  <c r="AX15" i="1" s="1"/>
  <c r="AV16" i="1"/>
  <c r="AX16" i="1" s="1"/>
  <c r="AV17" i="1"/>
  <c r="AX17" i="1" s="1"/>
  <c r="AV18" i="1"/>
  <c r="AX18" i="1" s="1"/>
  <c r="AV19" i="1"/>
  <c r="AX19" i="1" s="1"/>
  <c r="AV20" i="1"/>
  <c r="AX20" i="1" s="1"/>
  <c r="AV21" i="1"/>
  <c r="AX21" i="1" s="1"/>
  <c r="AV23" i="1"/>
  <c r="AX23" i="1" s="1"/>
  <c r="AV24" i="1"/>
  <c r="AX24" i="1" s="1"/>
  <c r="AV26" i="1"/>
  <c r="AX26" i="1" s="1"/>
  <c r="AV27" i="1"/>
  <c r="AX27" i="1" s="1"/>
  <c r="AV28" i="1"/>
  <c r="AX28" i="1" s="1"/>
  <c r="AV29" i="1"/>
  <c r="AX29" i="1" s="1"/>
  <c r="AV30" i="1"/>
  <c r="AX30" i="1" s="1"/>
  <c r="AV31" i="1"/>
  <c r="AX31" i="1" s="1"/>
  <c r="AV32" i="1"/>
  <c r="AX32" i="1" s="1"/>
  <c r="AV33" i="1"/>
  <c r="AX33" i="1" s="1"/>
  <c r="AV34" i="1"/>
  <c r="AX34" i="1" s="1"/>
  <c r="AV8" i="1"/>
  <c r="AX8" i="1" s="1"/>
  <c r="AE9" i="1"/>
  <c r="AE10" i="1"/>
  <c r="AG10" i="1" s="1"/>
  <c r="AE11" i="1"/>
  <c r="AG11" i="1" s="1"/>
  <c r="AE12" i="1"/>
  <c r="AG12" i="1" s="1"/>
  <c r="AE13" i="1"/>
  <c r="AG13" i="1" s="1"/>
  <c r="AE14" i="1"/>
  <c r="AG14" i="1" s="1"/>
  <c r="AE15" i="1"/>
  <c r="AG15" i="1" s="1"/>
  <c r="AE16" i="1"/>
  <c r="AG16" i="1" s="1"/>
  <c r="AE17" i="1"/>
  <c r="AG17" i="1" s="1"/>
  <c r="AE18" i="1"/>
  <c r="AG18" i="1" s="1"/>
  <c r="AE19" i="1"/>
  <c r="AG19" i="1" s="1"/>
  <c r="AE20" i="1"/>
  <c r="AG20" i="1" s="1"/>
  <c r="AE21" i="1"/>
  <c r="AG21" i="1" s="1"/>
  <c r="AE22" i="1"/>
  <c r="AG22" i="1" s="1"/>
  <c r="AE23" i="1"/>
  <c r="AG23" i="1" s="1"/>
  <c r="AE24" i="1"/>
  <c r="AG24" i="1" s="1"/>
  <c r="AE25" i="1"/>
  <c r="AE26" i="1"/>
  <c r="AG26" i="1" s="1"/>
  <c r="AE27" i="1"/>
  <c r="AG27" i="1" s="1"/>
  <c r="AE28" i="1"/>
  <c r="AG28" i="1" s="1"/>
  <c r="AE29" i="1"/>
  <c r="AG29" i="1" s="1"/>
  <c r="AE30" i="1"/>
  <c r="AG30" i="1" s="1"/>
  <c r="AE31" i="1"/>
  <c r="AG31" i="1" s="1"/>
  <c r="AE33" i="1"/>
  <c r="AG33" i="1" s="1"/>
  <c r="AE34" i="1"/>
  <c r="AG34" i="1" s="1"/>
  <c r="AE36" i="1"/>
  <c r="AG36" i="1" s="1"/>
  <c r="AE8" i="1"/>
  <c r="AG8" i="1" s="1"/>
  <c r="AA33" i="1"/>
  <c r="AC33" i="1" s="1"/>
  <c r="AA34" i="1"/>
  <c r="AA36" i="1"/>
  <c r="AA10" i="1"/>
  <c r="AC10" i="1" s="1"/>
  <c r="AA11" i="1"/>
  <c r="AA12" i="1"/>
  <c r="AC12" i="1" s="1"/>
  <c r="AA13" i="1"/>
  <c r="AC13" i="1" s="1"/>
  <c r="AA14" i="1"/>
  <c r="AA15" i="1"/>
  <c r="AC15" i="1" s="1"/>
  <c r="AA16" i="1"/>
  <c r="AA17" i="1"/>
  <c r="AA18" i="1"/>
  <c r="AC18" i="1" s="1"/>
  <c r="AA19" i="1"/>
  <c r="AC19" i="1" s="1"/>
  <c r="AA20" i="1"/>
  <c r="AC20" i="1" s="1"/>
  <c r="AA21" i="1"/>
  <c r="AC21" i="1" s="1"/>
  <c r="AA22" i="1"/>
  <c r="AC22" i="1" s="1"/>
  <c r="AA23" i="1"/>
  <c r="AC23" i="1" s="1"/>
  <c r="AA24" i="1"/>
  <c r="AA25" i="1"/>
  <c r="AA26" i="1"/>
  <c r="AC26" i="1" s="1"/>
  <c r="AA27" i="1"/>
  <c r="AC27" i="1" s="1"/>
  <c r="AA28" i="1"/>
  <c r="AC28" i="1" s="1"/>
  <c r="AA29" i="1"/>
  <c r="AC29" i="1" s="1"/>
  <c r="AA30" i="1"/>
  <c r="AC30" i="1" s="1"/>
  <c r="AA31" i="1"/>
  <c r="AC31" i="1" s="1"/>
  <c r="D12" i="2"/>
  <c r="D8" i="2"/>
  <c r="C11" i="1"/>
  <c r="C13" i="1"/>
  <c r="C16" i="1"/>
  <c r="C17" i="1"/>
  <c r="C19" i="1"/>
  <c r="C20" i="1"/>
  <c r="C24" i="1"/>
  <c r="C27" i="1"/>
  <c r="C28" i="1"/>
  <c r="C30" i="1"/>
  <c r="C33" i="1"/>
  <c r="C34" i="1"/>
  <c r="AQ20" i="2"/>
  <c r="AS20" i="2" s="1"/>
  <c r="AM20" i="2"/>
  <c r="AO20" i="2" s="1"/>
  <c r="AQ19" i="2"/>
  <c r="AS19" i="2" s="1"/>
  <c r="AM19" i="2"/>
  <c r="AO19" i="2" s="1"/>
  <c r="AQ18" i="2"/>
  <c r="AS18" i="2" s="1"/>
  <c r="AM18" i="2"/>
  <c r="AO18" i="2" s="1"/>
  <c r="AQ17" i="2"/>
  <c r="AS17" i="2" s="1"/>
  <c r="AM17" i="2"/>
  <c r="AO17" i="2" s="1"/>
  <c r="AQ16" i="2"/>
  <c r="AS16" i="2" s="1"/>
  <c r="AM16" i="2"/>
  <c r="AO16" i="2" s="1"/>
  <c r="AQ12" i="2"/>
  <c r="AM11" i="2"/>
  <c r="AE9" i="2"/>
  <c r="AA8" i="2"/>
  <c r="AS12" i="2"/>
  <c r="AO11" i="2"/>
  <c r="AK10" i="2"/>
  <c r="AG9" i="2"/>
  <c r="AC8" i="2"/>
  <c r="X11" i="2"/>
  <c r="P9" i="2"/>
  <c r="Y9" i="2" s="1"/>
  <c r="C5" i="4" s="1"/>
  <c r="L8" i="2"/>
  <c r="H12" i="2"/>
  <c r="T10" i="2"/>
  <c r="AQ9" i="2"/>
  <c r="AS9" i="2" s="1"/>
  <c r="AM12" i="2"/>
  <c r="AO12" i="2" s="1"/>
  <c r="AI9" i="2"/>
  <c r="AK9" i="2" s="1"/>
  <c r="AI11" i="2"/>
  <c r="AK11" i="2" s="1"/>
  <c r="AI12" i="2"/>
  <c r="AK12" i="2" s="1"/>
  <c r="AE10" i="2"/>
  <c r="AG10" i="2" s="1"/>
  <c r="AE11" i="2"/>
  <c r="AG11" i="2" s="1"/>
  <c r="AE12" i="2"/>
  <c r="AG12" i="2" s="1"/>
  <c r="AG8" i="2"/>
  <c r="AQ8" i="2"/>
  <c r="AS8" i="2" s="1"/>
  <c r="AM8" i="2"/>
  <c r="AO8" i="2" s="1"/>
  <c r="AI8" i="2"/>
  <c r="AK8" i="2" s="1"/>
  <c r="AA9" i="2"/>
  <c r="AC9" i="2" s="1"/>
  <c r="AA10" i="2"/>
  <c r="AC10" i="2" s="1"/>
  <c r="AA11" i="2"/>
  <c r="AC11" i="2" s="1"/>
  <c r="AC12" i="2"/>
  <c r="V9" i="2"/>
  <c r="X9" i="2" s="1"/>
  <c r="V10" i="2"/>
  <c r="X10" i="2" s="1"/>
  <c r="V12" i="2"/>
  <c r="X12" i="2" s="1"/>
  <c r="V8" i="2"/>
  <c r="X8" i="2" s="1"/>
  <c r="R9" i="2"/>
  <c r="T9" i="2" s="1"/>
  <c r="R11" i="2"/>
  <c r="T11" i="2" s="1"/>
  <c r="R12" i="2"/>
  <c r="T12" i="2" s="1"/>
  <c r="R8" i="2"/>
  <c r="T8" i="2" s="1"/>
  <c r="N10" i="2"/>
  <c r="P10" i="2" s="1"/>
  <c r="N11" i="2"/>
  <c r="P11" i="2" s="1"/>
  <c r="N12" i="2"/>
  <c r="P12" i="2" s="1"/>
  <c r="N8" i="2"/>
  <c r="P8" i="2" s="1"/>
  <c r="J10" i="2"/>
  <c r="L10" i="2" s="1"/>
  <c r="Y10" i="2" s="1"/>
  <c r="C4" i="4" s="1"/>
  <c r="J11" i="2"/>
  <c r="L11" i="2" s="1"/>
  <c r="J12" i="2"/>
  <c r="L12" i="2" s="1"/>
  <c r="J9" i="2"/>
  <c r="L9" i="2" s="1"/>
  <c r="F9" i="2"/>
  <c r="H9" i="2" s="1"/>
  <c r="F10" i="2"/>
  <c r="H10" i="2" s="1"/>
  <c r="F11" i="2"/>
  <c r="H11" i="2" s="1"/>
  <c r="F8" i="2"/>
  <c r="H8" i="2" s="1"/>
  <c r="AQ9" i="1"/>
  <c r="AS9" i="1" s="1"/>
  <c r="AQ10" i="1"/>
  <c r="AS10" i="1" s="1"/>
  <c r="AQ11" i="1"/>
  <c r="AS11" i="1" s="1"/>
  <c r="AQ12" i="1"/>
  <c r="AS12" i="1" s="1"/>
  <c r="AQ13" i="1"/>
  <c r="AS13" i="1" s="1"/>
  <c r="AQ14" i="1"/>
  <c r="AS14" i="1" s="1"/>
  <c r="AQ15" i="1"/>
  <c r="AS15" i="1" s="1"/>
  <c r="AQ16" i="1"/>
  <c r="AS16" i="1" s="1"/>
  <c r="AQ17" i="1"/>
  <c r="AS17" i="1" s="1"/>
  <c r="AQ18" i="1"/>
  <c r="AS18" i="1" s="1"/>
  <c r="AQ19" i="1"/>
  <c r="AS19" i="1" s="1"/>
  <c r="AQ20" i="1"/>
  <c r="AS20" i="1" s="1"/>
  <c r="AQ21" i="1"/>
  <c r="AS21" i="1" s="1"/>
  <c r="AQ22" i="1"/>
  <c r="AS22" i="1" s="1"/>
  <c r="AQ23" i="1"/>
  <c r="AS23" i="1" s="1"/>
  <c r="AQ24" i="1"/>
  <c r="AS24" i="1" s="1"/>
  <c r="AQ25" i="1"/>
  <c r="AS25" i="1" s="1"/>
  <c r="AQ26" i="1"/>
  <c r="AS26" i="1" s="1"/>
  <c r="AQ27" i="1"/>
  <c r="AS27" i="1" s="1"/>
  <c r="AQ28" i="1"/>
  <c r="AS28" i="1" s="1"/>
  <c r="AQ30" i="1"/>
  <c r="AS30" i="1" s="1"/>
  <c r="AQ31" i="1"/>
  <c r="AS31" i="1" s="1"/>
  <c r="AQ33" i="1"/>
  <c r="AS33" i="1" s="1"/>
  <c r="AQ34" i="1"/>
  <c r="AS34" i="1" s="1"/>
  <c r="AQ36" i="1"/>
  <c r="AS36" i="1" s="1"/>
  <c r="AM9" i="1"/>
  <c r="AO9" i="1" s="1"/>
  <c r="AM10" i="1"/>
  <c r="AO10" i="1" s="1"/>
  <c r="AM11" i="1"/>
  <c r="AO11" i="1" s="1"/>
  <c r="AM12" i="1"/>
  <c r="AO12" i="1" s="1"/>
  <c r="AM13" i="1"/>
  <c r="AO13" i="1" s="1"/>
  <c r="AM14" i="1"/>
  <c r="AO14" i="1" s="1"/>
  <c r="AM15" i="1"/>
  <c r="AO15" i="1" s="1"/>
  <c r="AM16" i="1"/>
  <c r="AO16" i="1" s="1"/>
  <c r="AM17" i="1"/>
  <c r="AO17" i="1" s="1"/>
  <c r="AM18" i="1"/>
  <c r="AO18" i="1" s="1"/>
  <c r="AM19" i="1"/>
  <c r="AO19" i="1" s="1"/>
  <c r="AM20" i="1"/>
  <c r="AO20" i="1" s="1"/>
  <c r="AM21" i="1"/>
  <c r="AO21" i="1" s="1"/>
  <c r="AM22" i="1"/>
  <c r="AO22" i="1" s="1"/>
  <c r="AM23" i="1"/>
  <c r="AO23" i="1" s="1"/>
  <c r="AM24" i="1"/>
  <c r="AO24" i="1" s="1"/>
  <c r="AM25" i="1"/>
  <c r="AO25" i="1" s="1"/>
  <c r="AM26" i="1"/>
  <c r="AO26" i="1" s="1"/>
  <c r="AM27" i="1"/>
  <c r="AO27" i="1" s="1"/>
  <c r="AM28" i="1"/>
  <c r="AO28" i="1" s="1"/>
  <c r="AM29" i="1"/>
  <c r="AO29" i="1" s="1"/>
  <c r="AM30" i="1"/>
  <c r="AO30" i="1" s="1"/>
  <c r="AM31" i="1"/>
  <c r="AO31" i="1" s="1"/>
  <c r="AM32" i="1"/>
  <c r="AO32" i="1" s="1"/>
  <c r="AM33" i="1"/>
  <c r="AO33" i="1" s="1"/>
  <c r="AM34" i="1"/>
  <c r="AO34" i="1" s="1"/>
  <c r="AM36" i="1"/>
  <c r="AO36" i="1" s="1"/>
  <c r="AM8" i="1"/>
  <c r="AO8" i="1" s="1"/>
  <c r="AI9" i="1"/>
  <c r="AK9" i="1" s="1"/>
  <c r="AI10" i="1"/>
  <c r="AK10" i="1" s="1"/>
  <c r="AI11" i="1"/>
  <c r="AK11" i="1" s="1"/>
  <c r="AI12" i="1"/>
  <c r="AK12" i="1" s="1"/>
  <c r="AI13" i="1"/>
  <c r="AK13" i="1" s="1"/>
  <c r="AI14" i="1"/>
  <c r="AK14" i="1" s="1"/>
  <c r="AI15" i="1"/>
  <c r="AK15" i="1" s="1"/>
  <c r="AI16" i="1"/>
  <c r="AK16" i="1" s="1"/>
  <c r="AI17" i="1"/>
  <c r="AK17" i="1" s="1"/>
  <c r="AI18" i="1"/>
  <c r="AK18" i="1" s="1"/>
  <c r="AI19" i="1"/>
  <c r="AK19" i="1" s="1"/>
  <c r="AI20" i="1"/>
  <c r="AK20" i="1" s="1"/>
  <c r="AI21" i="1"/>
  <c r="AK21" i="1" s="1"/>
  <c r="AI22" i="1"/>
  <c r="AK22" i="1" s="1"/>
  <c r="AI23" i="1"/>
  <c r="AK23" i="1" s="1"/>
  <c r="AI24" i="1"/>
  <c r="AK24" i="1" s="1"/>
  <c r="AI25" i="1"/>
  <c r="AK25" i="1" s="1"/>
  <c r="AI26" i="1"/>
  <c r="AK26" i="1" s="1"/>
  <c r="AI27" i="1"/>
  <c r="AK27" i="1" s="1"/>
  <c r="AI28" i="1"/>
  <c r="AK28" i="1" s="1"/>
  <c r="AI29" i="1"/>
  <c r="AK29" i="1" s="1"/>
  <c r="AI30" i="1"/>
  <c r="AK30" i="1" s="1"/>
  <c r="AI31" i="1"/>
  <c r="AK31" i="1" s="1"/>
  <c r="AI32" i="1"/>
  <c r="AK32" i="1" s="1"/>
  <c r="AI33" i="1"/>
  <c r="AK33" i="1" s="1"/>
  <c r="AI34" i="1"/>
  <c r="AK34" i="1" s="1"/>
  <c r="AI36" i="1"/>
  <c r="AK36" i="1" s="1"/>
  <c r="AI8" i="1"/>
  <c r="AK8" i="1" s="1"/>
  <c r="AG9" i="1"/>
  <c r="AG25" i="1"/>
  <c r="F8" i="1"/>
  <c r="V9" i="1"/>
  <c r="X9" i="1" s="1"/>
  <c r="V10" i="1"/>
  <c r="X10" i="1" s="1"/>
  <c r="V11" i="1"/>
  <c r="X11" i="1" s="1"/>
  <c r="V12" i="1"/>
  <c r="X12" i="1" s="1"/>
  <c r="V13" i="1"/>
  <c r="X13" i="1" s="1"/>
  <c r="V14" i="1"/>
  <c r="X14" i="1" s="1"/>
  <c r="V15" i="1"/>
  <c r="X15" i="1" s="1"/>
  <c r="V16" i="1"/>
  <c r="X16" i="1" s="1"/>
  <c r="V17" i="1"/>
  <c r="X17" i="1" s="1"/>
  <c r="V18" i="1"/>
  <c r="X18" i="1" s="1"/>
  <c r="V19" i="1"/>
  <c r="X19" i="1" s="1"/>
  <c r="V20" i="1"/>
  <c r="X20" i="1" s="1"/>
  <c r="V21" i="1"/>
  <c r="X21" i="1" s="1"/>
  <c r="V22" i="1"/>
  <c r="X22" i="1" s="1"/>
  <c r="V23" i="1"/>
  <c r="X23" i="1" s="1"/>
  <c r="V24" i="1"/>
  <c r="X24" i="1" s="1"/>
  <c r="V25" i="1"/>
  <c r="X25" i="1" s="1"/>
  <c r="V26" i="1"/>
  <c r="X26" i="1" s="1"/>
  <c r="V27" i="1"/>
  <c r="X27" i="1" s="1"/>
  <c r="V28" i="1"/>
  <c r="X28" i="1" s="1"/>
  <c r="V29" i="1"/>
  <c r="X29" i="1" s="1"/>
  <c r="V30" i="1"/>
  <c r="X30" i="1" s="1"/>
  <c r="V31" i="1"/>
  <c r="X31" i="1" s="1"/>
  <c r="V32" i="1"/>
  <c r="X32" i="1" s="1"/>
  <c r="V33" i="1"/>
  <c r="X33" i="1" s="1"/>
  <c r="V34" i="1"/>
  <c r="X34" i="1" s="1"/>
  <c r="V35" i="1"/>
  <c r="X35" i="1" s="1"/>
  <c r="V36" i="1"/>
  <c r="X36" i="1" s="1"/>
  <c r="V8" i="1"/>
  <c r="X8" i="1" s="1"/>
  <c r="R8" i="1"/>
  <c r="R9" i="1"/>
  <c r="T9" i="1" s="1"/>
  <c r="R10" i="1"/>
  <c r="T10" i="1" s="1"/>
  <c r="R11" i="1"/>
  <c r="T11" i="1" s="1"/>
  <c r="R12" i="1"/>
  <c r="T12" i="1" s="1"/>
  <c r="R13" i="1"/>
  <c r="T13" i="1" s="1"/>
  <c r="R14" i="1"/>
  <c r="T14" i="1" s="1"/>
  <c r="R15" i="1"/>
  <c r="T15" i="1" s="1"/>
  <c r="R16" i="1"/>
  <c r="T16" i="1" s="1"/>
  <c r="R17" i="1"/>
  <c r="T17" i="1" s="1"/>
  <c r="R18" i="1"/>
  <c r="T18" i="1" s="1"/>
  <c r="R19" i="1"/>
  <c r="T19" i="1" s="1"/>
  <c r="R20" i="1"/>
  <c r="T20" i="1" s="1"/>
  <c r="R21" i="1"/>
  <c r="T21" i="1" s="1"/>
  <c r="R22" i="1"/>
  <c r="T22" i="1" s="1"/>
  <c r="R23" i="1"/>
  <c r="T23" i="1" s="1"/>
  <c r="R24" i="1"/>
  <c r="T24" i="1" s="1"/>
  <c r="R25" i="1"/>
  <c r="T25" i="1" s="1"/>
  <c r="R26" i="1"/>
  <c r="T26" i="1" s="1"/>
  <c r="R27" i="1"/>
  <c r="T27" i="1" s="1"/>
  <c r="R28" i="1"/>
  <c r="T28" i="1" s="1"/>
  <c r="R29" i="1"/>
  <c r="T29" i="1" s="1"/>
  <c r="R30" i="1"/>
  <c r="T30" i="1" s="1"/>
  <c r="R31" i="1"/>
  <c r="T31" i="1" s="1"/>
  <c r="R32" i="1"/>
  <c r="T32" i="1" s="1"/>
  <c r="R33" i="1"/>
  <c r="T33" i="1" s="1"/>
  <c r="R34" i="1"/>
  <c r="T34" i="1" s="1"/>
  <c r="R35" i="1"/>
  <c r="T35" i="1" s="1"/>
  <c r="R36" i="1"/>
  <c r="T36" i="1" s="1"/>
  <c r="T8" i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8" i="1"/>
  <c r="P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H8" i="1"/>
  <c r="FL12" i="2" l="1"/>
  <c r="FL8" i="2"/>
  <c r="FL9" i="1"/>
  <c r="EU30" i="1"/>
  <c r="EU20" i="1"/>
  <c r="EU34" i="1"/>
  <c r="EU16" i="1"/>
  <c r="EU24" i="1"/>
  <c r="EU13" i="1"/>
  <c r="EU27" i="1"/>
  <c r="EU17" i="1"/>
  <c r="EU19" i="1"/>
  <c r="EU28" i="1"/>
  <c r="EU33" i="1"/>
  <c r="EU11" i="1"/>
  <c r="DZ12" i="2"/>
  <c r="DZ10" i="2"/>
  <c r="DZ11" i="2"/>
  <c r="DZ8" i="2"/>
  <c r="DZ25" i="1"/>
  <c r="H12" i="3" s="1"/>
  <c r="DZ9" i="1"/>
  <c r="H16" i="3" s="1"/>
  <c r="DZ32" i="1"/>
  <c r="H6" i="3" s="1"/>
  <c r="DZ8" i="1"/>
  <c r="H18" i="3" s="1"/>
  <c r="DZ35" i="1"/>
  <c r="H26" i="3" s="1"/>
  <c r="DZ26" i="1"/>
  <c r="H5" i="3" s="1"/>
  <c r="DZ18" i="1"/>
  <c r="H7" i="3" s="1"/>
  <c r="DZ10" i="1"/>
  <c r="H2" i="3" s="1"/>
  <c r="DZ22" i="1"/>
  <c r="H24" i="3" s="1"/>
  <c r="DZ36" i="1"/>
  <c r="H23" i="3" s="1"/>
  <c r="DZ23" i="1"/>
  <c r="H8" i="3" s="1"/>
  <c r="DZ13" i="1"/>
  <c r="H15" i="3" s="1"/>
  <c r="DZ21" i="1"/>
  <c r="H22" i="3" s="1"/>
  <c r="DZ31" i="1"/>
  <c r="H17" i="3" s="1"/>
  <c r="DZ15" i="1"/>
  <c r="H20" i="3" s="1"/>
  <c r="DZ30" i="1"/>
  <c r="H10" i="3" s="1"/>
  <c r="DZ14" i="1"/>
  <c r="H19" i="3" s="1"/>
  <c r="DZ28" i="1"/>
  <c r="H11" i="3" s="1"/>
  <c r="DZ20" i="1"/>
  <c r="H28" i="3" s="1"/>
  <c r="DZ12" i="1"/>
  <c r="H4" i="3" s="1"/>
  <c r="DZ27" i="1"/>
  <c r="H14" i="3" s="1"/>
  <c r="DZ19" i="1"/>
  <c r="H21" i="3" s="1"/>
  <c r="DZ11" i="1"/>
  <c r="H29" i="3" s="1"/>
  <c r="DZ34" i="1"/>
  <c r="H9" i="3" s="1"/>
  <c r="DZ33" i="1"/>
  <c r="H27" i="3" s="1"/>
  <c r="DZ17" i="1"/>
  <c r="H13" i="3" s="1"/>
  <c r="DZ24" i="1"/>
  <c r="H3" i="3" s="1"/>
  <c r="DZ16" i="1"/>
  <c r="H30" i="3" s="1"/>
  <c r="K7" i="5"/>
  <c r="DE36" i="1"/>
  <c r="G23" i="3" s="1"/>
  <c r="DE28" i="1"/>
  <c r="G11" i="3" s="1"/>
  <c r="DE17" i="1"/>
  <c r="G13" i="3" s="1"/>
  <c r="DE23" i="1"/>
  <c r="G8" i="3" s="1"/>
  <c r="DE12" i="1"/>
  <c r="G4" i="3" s="1"/>
  <c r="DE34" i="1"/>
  <c r="G9" i="3" s="1"/>
  <c r="DE35" i="1"/>
  <c r="G26" i="3" s="1"/>
  <c r="DE31" i="1"/>
  <c r="G17" i="3" s="1"/>
  <c r="DE25" i="1"/>
  <c r="G12" i="3" s="1"/>
  <c r="DE9" i="1"/>
  <c r="G16" i="3" s="1"/>
  <c r="DE21" i="1"/>
  <c r="G22" i="3" s="1"/>
  <c r="DE32" i="1"/>
  <c r="G6" i="3" s="1"/>
  <c r="DE14" i="1"/>
  <c r="G19" i="3" s="1"/>
  <c r="DE20" i="1"/>
  <c r="G28" i="3" s="1"/>
  <c r="DE27" i="1"/>
  <c r="G14" i="3" s="1"/>
  <c r="DE19" i="1"/>
  <c r="G21" i="3" s="1"/>
  <c r="DE11" i="1"/>
  <c r="G29" i="3" s="1"/>
  <c r="DE16" i="1"/>
  <c r="G30" i="3" s="1"/>
  <c r="DE30" i="1"/>
  <c r="G10" i="3" s="1"/>
  <c r="DE33" i="1"/>
  <c r="G27" i="3" s="1"/>
  <c r="DE9" i="2"/>
  <c r="DE8" i="2"/>
  <c r="DE12" i="2"/>
  <c r="DE11" i="2"/>
  <c r="DE10" i="2"/>
  <c r="K25" i="5"/>
  <c r="K14" i="5"/>
  <c r="K9" i="5"/>
  <c r="K28" i="5"/>
  <c r="DE24" i="1"/>
  <c r="G3" i="3" s="1"/>
  <c r="DE13" i="1"/>
  <c r="G15" i="3" s="1"/>
  <c r="K6" i="6"/>
  <c r="K10" i="5"/>
  <c r="K27" i="5"/>
  <c r="K22" i="5"/>
  <c r="K23" i="5"/>
  <c r="K13" i="5"/>
  <c r="K16" i="5"/>
  <c r="K15" i="5"/>
  <c r="CJ8" i="2"/>
  <c r="CJ12" i="2"/>
  <c r="CJ35" i="1"/>
  <c r="F26" i="3" s="1"/>
  <c r="CJ25" i="1"/>
  <c r="F12" i="3" s="1"/>
  <c r="CJ32" i="1"/>
  <c r="F6" i="3" s="1"/>
  <c r="CJ14" i="1"/>
  <c r="F19" i="3" s="1"/>
  <c r="CJ29" i="1"/>
  <c r="F25" i="3" s="1"/>
  <c r="CJ8" i="1"/>
  <c r="F18" i="3" s="1"/>
  <c r="CJ26" i="1"/>
  <c r="F5" i="3" s="1"/>
  <c r="CJ17" i="1"/>
  <c r="F13" i="3" s="1"/>
  <c r="CJ34" i="1"/>
  <c r="F9" i="3" s="1"/>
  <c r="CJ12" i="1"/>
  <c r="F4" i="3" s="1"/>
  <c r="CJ23" i="1"/>
  <c r="F8" i="3" s="1"/>
  <c r="CJ33" i="1"/>
  <c r="F27" i="3" s="1"/>
  <c r="CJ16" i="1"/>
  <c r="F30" i="3" s="1"/>
  <c r="CJ11" i="1"/>
  <c r="F29" i="3" s="1"/>
  <c r="CJ24" i="1"/>
  <c r="F3" i="3" s="1"/>
  <c r="CJ27" i="1"/>
  <c r="F14" i="3" s="1"/>
  <c r="CJ19" i="1"/>
  <c r="F21" i="3" s="1"/>
  <c r="CJ10" i="1"/>
  <c r="F2" i="3" s="1"/>
  <c r="CJ30" i="1"/>
  <c r="F10" i="3" s="1"/>
  <c r="CJ13" i="1"/>
  <c r="F15" i="3" s="1"/>
  <c r="CJ28" i="1"/>
  <c r="F11" i="3" s="1"/>
  <c r="CJ20" i="1"/>
  <c r="F28" i="3" s="1"/>
  <c r="Y12" i="2"/>
  <c r="C3" i="4" s="1"/>
  <c r="Y11" i="2"/>
  <c r="C2" i="4" s="1"/>
  <c r="Y8" i="2"/>
  <c r="C6" i="4" s="1"/>
  <c r="BO12" i="2"/>
  <c r="E3" i="4" s="1"/>
  <c r="BO10" i="2"/>
  <c r="E4" i="4" s="1"/>
  <c r="BO13" i="2"/>
  <c r="BO8" i="2"/>
  <c r="E6" i="4" s="1"/>
  <c r="C12" i="2"/>
  <c r="C8" i="2"/>
  <c r="Y8" i="1"/>
  <c r="C18" i="3" s="1"/>
  <c r="BO9" i="1"/>
  <c r="BO8" i="1"/>
  <c r="BO29" i="1"/>
  <c r="BO21" i="1"/>
  <c r="E22" i="3" s="1"/>
  <c r="BO24" i="1"/>
  <c r="E3" i="3" s="1"/>
  <c r="BO16" i="1"/>
  <c r="E30" i="3" s="1"/>
  <c r="BO23" i="1"/>
  <c r="E8" i="3" s="1"/>
  <c r="BO15" i="1"/>
  <c r="E20" i="3" s="1"/>
  <c r="BO13" i="1"/>
  <c r="E15" i="3" s="1"/>
  <c r="BO30" i="1"/>
  <c r="E10" i="3" s="1"/>
  <c r="BO12" i="1"/>
  <c r="E4" i="3" s="1"/>
  <c r="BO28" i="1"/>
  <c r="E11" i="3" s="1"/>
  <c r="BO19" i="1"/>
  <c r="E21" i="3" s="1"/>
  <c r="BO10" i="1"/>
  <c r="E2" i="3" s="1"/>
  <c r="BO27" i="1"/>
  <c r="E14" i="3" s="1"/>
  <c r="BO18" i="1"/>
  <c r="E7" i="3" s="1"/>
  <c r="BO34" i="1"/>
  <c r="E9" i="3" s="1"/>
  <c r="BO26" i="1"/>
  <c r="E5" i="3" s="1"/>
  <c r="BO17" i="1"/>
  <c r="E13" i="3" s="1"/>
  <c r="BO33" i="1"/>
  <c r="E27" i="3" s="1"/>
  <c r="BO31" i="1"/>
  <c r="E17" i="3" s="1"/>
  <c r="BO20" i="1"/>
  <c r="E28" i="3" s="1"/>
  <c r="BO11" i="1"/>
  <c r="E29" i="3" s="1"/>
  <c r="AT20" i="1"/>
  <c r="D28" i="3" s="1"/>
  <c r="AT19" i="1"/>
  <c r="D21" i="3" s="1"/>
  <c r="AT31" i="1"/>
  <c r="D17" i="3" s="1"/>
  <c r="AT22" i="1"/>
  <c r="D24" i="3" s="1"/>
  <c r="D17" i="1"/>
  <c r="AT30" i="1"/>
  <c r="D10" i="3" s="1"/>
  <c r="D24" i="1"/>
  <c r="D16" i="1"/>
  <c r="D34" i="1"/>
  <c r="AT23" i="1"/>
  <c r="D8" i="3" s="1"/>
  <c r="AT15" i="1"/>
  <c r="D20" i="3" s="1"/>
  <c r="D33" i="1"/>
  <c r="AT33" i="1"/>
  <c r="D27" i="3" s="1"/>
  <c r="AT18" i="1"/>
  <c r="D7" i="3" s="1"/>
  <c r="D30" i="1"/>
  <c r="AT28" i="1"/>
  <c r="D11" i="3" s="1"/>
  <c r="AT27" i="1"/>
  <c r="D14" i="3" s="1"/>
  <c r="AC14" i="1"/>
  <c r="AT14" i="1" s="1"/>
  <c r="D19" i="3" s="1"/>
  <c r="AT26" i="1"/>
  <c r="D5" i="3" s="1"/>
  <c r="D27" i="1"/>
  <c r="D19" i="1"/>
  <c r="D11" i="1"/>
  <c r="AC11" i="1"/>
  <c r="AT11" i="1" s="1"/>
  <c r="D29" i="3" s="1"/>
  <c r="AT10" i="1"/>
  <c r="D2" i="3" s="1"/>
  <c r="AT13" i="1"/>
  <c r="D15" i="3" s="1"/>
  <c r="AT12" i="1"/>
  <c r="D4" i="3" s="1"/>
  <c r="AT21" i="1"/>
  <c r="D22" i="3" s="1"/>
  <c r="D13" i="1"/>
  <c r="AC36" i="1"/>
  <c r="AT36" i="1" s="1"/>
  <c r="D23" i="3" s="1"/>
  <c r="D28" i="1"/>
  <c r="D20" i="1"/>
  <c r="AC34" i="1"/>
  <c r="AT34" i="1" s="1"/>
  <c r="D9" i="3" s="1"/>
  <c r="AC25" i="1"/>
  <c r="AT25" i="1" s="1"/>
  <c r="D12" i="3" s="1"/>
  <c r="AC17" i="1"/>
  <c r="AT17" i="1" s="1"/>
  <c r="D13" i="3" s="1"/>
  <c r="AC24" i="1"/>
  <c r="AT24" i="1" s="1"/>
  <c r="D3" i="3" s="1"/>
  <c r="AC16" i="1"/>
  <c r="AT16" i="1" s="1"/>
  <c r="D30" i="3" s="1"/>
  <c r="AT12" i="2"/>
  <c r="D3" i="4" s="1"/>
  <c r="AT11" i="2"/>
  <c r="D2" i="4" s="1"/>
  <c r="AT9" i="2"/>
  <c r="D5" i="4" s="1"/>
  <c r="AT8" i="2"/>
  <c r="D6" i="4" s="1"/>
  <c r="Y36" i="1"/>
  <c r="C23" i="3" s="1"/>
  <c r="Y35" i="1"/>
  <c r="C26" i="3" s="1"/>
  <c r="Y34" i="1"/>
  <c r="C9" i="3" s="1"/>
  <c r="Y33" i="1"/>
  <c r="C27" i="3" s="1"/>
  <c r="Y32" i="1"/>
  <c r="C6" i="3" s="1"/>
  <c r="Y31" i="1"/>
  <c r="C17" i="3" s="1"/>
  <c r="Y30" i="1"/>
  <c r="C10" i="3" s="1"/>
  <c r="Y29" i="1"/>
  <c r="C25" i="3" s="1"/>
  <c r="Y28" i="1"/>
  <c r="C11" i="3" s="1"/>
  <c r="Y27" i="1"/>
  <c r="C14" i="3" s="1"/>
  <c r="Y26" i="1"/>
  <c r="C5" i="3" s="1"/>
  <c r="Y25" i="1"/>
  <c r="C12" i="3" s="1"/>
  <c r="Y24" i="1"/>
  <c r="C3" i="3" s="1"/>
  <c r="Y23" i="1"/>
  <c r="C8" i="3" s="1"/>
  <c r="Y22" i="1"/>
  <c r="C24" i="3" s="1"/>
  <c r="Y21" i="1"/>
  <c r="C22" i="3" s="1"/>
  <c r="Y20" i="1"/>
  <c r="C28" i="3" s="1"/>
  <c r="Y19" i="1"/>
  <c r="C21" i="3" s="1"/>
  <c r="Y18" i="1"/>
  <c r="C7" i="3" s="1"/>
  <c r="Y17" i="1"/>
  <c r="C13" i="3" s="1"/>
  <c r="Y16" i="1"/>
  <c r="C30" i="3" s="1"/>
  <c r="Y15" i="1"/>
  <c r="C20" i="3" s="1"/>
  <c r="Y14" i="1"/>
  <c r="C19" i="3" s="1"/>
  <c r="Y13" i="1"/>
  <c r="C15" i="3" s="1"/>
  <c r="Y12" i="1"/>
  <c r="C4" i="3" s="1"/>
  <c r="Y11" i="1"/>
  <c r="C29" i="3" s="1"/>
  <c r="Y10" i="1"/>
  <c r="C2" i="3" s="1"/>
  <c r="Y9" i="1"/>
  <c r="C16" i="3" s="1"/>
  <c r="AA8" i="1"/>
  <c r="I13" i="3" l="1"/>
  <c r="FL17" i="1"/>
  <c r="I14" i="3"/>
  <c r="FL27" i="1"/>
  <c r="I15" i="3"/>
  <c r="K15" i="3" s="1"/>
  <c r="FL13" i="1"/>
  <c r="I3" i="3"/>
  <c r="K3" i="3" s="1"/>
  <c r="FL24" i="1"/>
  <c r="I29" i="3"/>
  <c r="FL11" i="1"/>
  <c r="I30" i="3"/>
  <c r="K30" i="3" s="1"/>
  <c r="FL16" i="1"/>
  <c r="I27" i="3"/>
  <c r="K27" i="3" s="1"/>
  <c r="FL33" i="1"/>
  <c r="I9" i="3"/>
  <c r="K9" i="3" s="1"/>
  <c r="FL34" i="1"/>
  <c r="I11" i="3"/>
  <c r="FL28" i="1"/>
  <c r="I28" i="3"/>
  <c r="K28" i="3" s="1"/>
  <c r="FL20" i="1"/>
  <c r="I21" i="3"/>
  <c r="K21" i="3" s="1"/>
  <c r="FL19" i="1"/>
  <c r="I10" i="3"/>
  <c r="K10" i="3" s="1"/>
  <c r="FL30" i="1"/>
  <c r="K29" i="3"/>
  <c r="K11" i="3"/>
  <c r="K13" i="3"/>
  <c r="AC8" i="1"/>
  <c r="BB9" i="2"/>
  <c r="BJ11" i="2"/>
  <c r="K14" i="3"/>
  <c r="K6" i="4"/>
  <c r="ET11" i="2"/>
  <c r="ET9" i="2"/>
  <c r="EU9" i="2" s="1"/>
  <c r="I5" i="4" s="1"/>
  <c r="K3" i="6"/>
  <c r="K3" i="4"/>
  <c r="G2" i="5"/>
  <c r="K2" i="5"/>
  <c r="G3" i="5"/>
  <c r="J3" i="5"/>
  <c r="K3" i="5"/>
  <c r="D4" i="5"/>
  <c r="E4" i="5"/>
  <c r="I4" i="5"/>
  <c r="K4" i="5"/>
  <c r="F5" i="5"/>
  <c r="G5" i="5"/>
  <c r="J5" i="5"/>
  <c r="K5" i="5"/>
  <c r="I6" i="5"/>
  <c r="J6" i="5"/>
  <c r="K6" i="5"/>
  <c r="E8" i="5"/>
  <c r="I8" i="5"/>
  <c r="K8" i="5"/>
  <c r="E11" i="5"/>
  <c r="I11" i="5"/>
  <c r="K11" i="5"/>
  <c r="I12" i="5"/>
  <c r="K12" i="5"/>
  <c r="F17" i="5"/>
  <c r="J17" i="5"/>
  <c r="K17" i="5"/>
  <c r="F18" i="5"/>
  <c r="G18" i="5"/>
  <c r="K18" i="5"/>
  <c r="E19" i="5"/>
  <c r="F19" i="5"/>
  <c r="G19" i="5"/>
  <c r="K19" i="5"/>
  <c r="E20" i="5"/>
  <c r="F20" i="5"/>
  <c r="K20" i="5"/>
  <c r="D21" i="5"/>
  <c r="F21" i="5"/>
  <c r="K21" i="5"/>
  <c r="F24" i="5"/>
  <c r="K24" i="5"/>
  <c r="D26" i="5"/>
  <c r="G26" i="5"/>
  <c r="K26" i="5"/>
  <c r="D29" i="5"/>
  <c r="E29" i="5"/>
  <c r="K29" i="5"/>
  <c r="D30" i="5"/>
  <c r="G30" i="5"/>
  <c r="H30" i="5"/>
  <c r="K30" i="5"/>
  <c r="G2" i="3"/>
  <c r="K2" i="3"/>
  <c r="I4" i="3"/>
  <c r="J4" i="3"/>
  <c r="K4" i="3"/>
  <c r="G5" i="3"/>
  <c r="J5" i="3"/>
  <c r="K5" i="3"/>
  <c r="D6" i="3"/>
  <c r="E6" i="3"/>
  <c r="I6" i="3"/>
  <c r="J6" i="3"/>
  <c r="K6" i="3"/>
  <c r="F7" i="3"/>
  <c r="G7" i="3"/>
  <c r="J7" i="3"/>
  <c r="K7" i="3"/>
  <c r="I8" i="3"/>
  <c r="J8" i="3"/>
  <c r="K8" i="3"/>
  <c r="E12" i="3"/>
  <c r="I12" i="3"/>
  <c r="J12" i="3"/>
  <c r="K12" i="3"/>
  <c r="D16" i="3"/>
  <c r="F16" i="3"/>
  <c r="K16" i="3"/>
  <c r="F17" i="3"/>
  <c r="J17" i="3"/>
  <c r="K17" i="3"/>
  <c r="D18" i="3"/>
  <c r="G18" i="3"/>
  <c r="K18" i="3"/>
  <c r="E19" i="3"/>
  <c r="I19" i="3"/>
  <c r="J19" i="3"/>
  <c r="K19" i="3"/>
  <c r="F20" i="3"/>
  <c r="G20" i="3"/>
  <c r="K20" i="3"/>
  <c r="F22" i="3"/>
  <c r="K22" i="3"/>
  <c r="E23" i="3"/>
  <c r="F23" i="3"/>
  <c r="K23" i="3"/>
  <c r="E24" i="3"/>
  <c r="F24" i="3"/>
  <c r="G24" i="3"/>
  <c r="K24" i="3"/>
  <c r="D25" i="3"/>
  <c r="G25" i="3"/>
  <c r="H25" i="3"/>
  <c r="K25" i="3"/>
  <c r="D26" i="3"/>
  <c r="E26" i="3"/>
  <c r="K26" i="3"/>
  <c r="C8" i="1"/>
  <c r="D8" i="1"/>
  <c r="AQ8" i="1"/>
  <c r="AR8" i="1"/>
  <c r="AS8" i="1"/>
  <c r="AT8" i="1"/>
  <c r="CL8" i="1"/>
  <c r="CM8" i="1"/>
  <c r="CN8" i="1"/>
  <c r="CP8" i="1"/>
  <c r="CQ8" i="1"/>
  <c r="CR8" i="1"/>
  <c r="CT8" i="1"/>
  <c r="CU8" i="1"/>
  <c r="CV8" i="1"/>
  <c r="CX8" i="1"/>
  <c r="CY8" i="1"/>
  <c r="CZ8" i="1"/>
  <c r="DB8" i="1"/>
  <c r="DC8" i="1"/>
  <c r="DD8" i="1"/>
  <c r="DE8" i="1"/>
  <c r="C9" i="1"/>
  <c r="D9" i="1"/>
  <c r="AA9" i="1"/>
  <c r="AB9" i="1"/>
  <c r="AC9" i="1"/>
  <c r="AT9" i="1"/>
  <c r="BQ9" i="1"/>
  <c r="BR9" i="1"/>
  <c r="BS9" i="1"/>
  <c r="BU9" i="1"/>
  <c r="BV9" i="1"/>
  <c r="BW9" i="1"/>
  <c r="BY9" i="1"/>
  <c r="BZ9" i="1"/>
  <c r="CA9" i="1"/>
  <c r="CC9" i="1"/>
  <c r="CD9" i="1"/>
  <c r="CE9" i="1"/>
  <c r="CG9" i="1"/>
  <c r="CH9" i="1"/>
  <c r="CI9" i="1"/>
  <c r="CJ9" i="1"/>
  <c r="C10" i="1"/>
  <c r="D10" i="1"/>
  <c r="CL10" i="1"/>
  <c r="CM10" i="1"/>
  <c r="CN10" i="1"/>
  <c r="CP10" i="1"/>
  <c r="CQ10" i="1"/>
  <c r="CR10" i="1"/>
  <c r="CT10" i="1"/>
  <c r="CU10" i="1"/>
  <c r="CV10" i="1"/>
  <c r="CX10" i="1"/>
  <c r="CY10" i="1"/>
  <c r="CZ10" i="1"/>
  <c r="DB10" i="1"/>
  <c r="DC10" i="1"/>
  <c r="DD10" i="1"/>
  <c r="DE10" i="1"/>
  <c r="C12" i="1"/>
  <c r="D12" i="1"/>
  <c r="EB12" i="1"/>
  <c r="EC12" i="1"/>
  <c r="ED12" i="1"/>
  <c r="EF12" i="1"/>
  <c r="EG12" i="1"/>
  <c r="EH12" i="1"/>
  <c r="EJ12" i="1"/>
  <c r="EK12" i="1"/>
  <c r="EL12" i="1"/>
  <c r="EN12" i="1"/>
  <c r="EO12" i="1"/>
  <c r="EP12" i="1"/>
  <c r="ER12" i="1"/>
  <c r="ES12" i="1"/>
  <c r="ET12" i="1"/>
  <c r="EU12" i="1"/>
  <c r="EW12" i="1"/>
  <c r="EX12" i="1"/>
  <c r="EY12" i="1"/>
  <c r="FA12" i="1"/>
  <c r="FB12" i="1"/>
  <c r="FC12" i="1"/>
  <c r="FE12" i="1"/>
  <c r="FF12" i="1"/>
  <c r="FG12" i="1"/>
  <c r="FI12" i="1"/>
  <c r="FK12" i="1"/>
  <c r="FL12" i="1"/>
  <c r="C14" i="1"/>
  <c r="D14" i="1"/>
  <c r="AV14" i="1"/>
  <c r="AW14" i="1"/>
  <c r="AX14" i="1"/>
  <c r="AZ14" i="1"/>
  <c r="BA14" i="1"/>
  <c r="BB14" i="1"/>
  <c r="BD14" i="1"/>
  <c r="BE14" i="1"/>
  <c r="BF14" i="1"/>
  <c r="BH14" i="1"/>
  <c r="BI14" i="1"/>
  <c r="BJ14" i="1"/>
  <c r="BL14" i="1"/>
  <c r="BM14" i="1"/>
  <c r="BN14" i="1"/>
  <c r="BO14" i="1"/>
  <c r="EB14" i="1"/>
  <c r="EC14" i="1"/>
  <c r="ED14" i="1"/>
  <c r="EF14" i="1"/>
  <c r="EG14" i="1"/>
  <c r="EH14" i="1"/>
  <c r="EJ14" i="1"/>
  <c r="EK14" i="1"/>
  <c r="EL14" i="1"/>
  <c r="EN14" i="1"/>
  <c r="EO14" i="1"/>
  <c r="EP14" i="1"/>
  <c r="ER14" i="1"/>
  <c r="ES14" i="1"/>
  <c r="ET14" i="1"/>
  <c r="EU14" i="1"/>
  <c r="FL14" i="1"/>
  <c r="C15" i="1"/>
  <c r="D15" i="1"/>
  <c r="CC15" i="1"/>
  <c r="CD15" i="1"/>
  <c r="CE15" i="1"/>
  <c r="CG15" i="1"/>
  <c r="CH15" i="1"/>
  <c r="CI15" i="1"/>
  <c r="CJ15" i="1"/>
  <c r="CL15" i="1"/>
  <c r="CM15" i="1"/>
  <c r="CN15" i="1"/>
  <c r="CP15" i="1"/>
  <c r="CQ15" i="1"/>
  <c r="CR15" i="1"/>
  <c r="CT15" i="1"/>
  <c r="CU15" i="1"/>
  <c r="CV15" i="1"/>
  <c r="CX15" i="1"/>
  <c r="CY15" i="1"/>
  <c r="CZ15" i="1"/>
  <c r="DB15" i="1"/>
  <c r="DC15" i="1"/>
  <c r="DD15" i="1"/>
  <c r="DE15" i="1"/>
  <c r="C18" i="1"/>
  <c r="D18" i="1"/>
  <c r="BQ18" i="1"/>
  <c r="BR18" i="1"/>
  <c r="BS18" i="1"/>
  <c r="BU18" i="1"/>
  <c r="BV18" i="1"/>
  <c r="BW18" i="1"/>
  <c r="BY18" i="1"/>
  <c r="BZ18" i="1"/>
  <c r="CA18" i="1"/>
  <c r="CC18" i="1"/>
  <c r="CD18" i="1"/>
  <c r="CE18" i="1"/>
  <c r="CG18" i="1"/>
  <c r="CH18" i="1"/>
  <c r="CI18" i="1"/>
  <c r="CJ18" i="1"/>
  <c r="CL18" i="1"/>
  <c r="CM18" i="1"/>
  <c r="CN18" i="1"/>
  <c r="CP18" i="1"/>
  <c r="CQ18" i="1"/>
  <c r="CR18" i="1"/>
  <c r="CT18" i="1"/>
  <c r="CU18" i="1"/>
  <c r="CV18" i="1"/>
  <c r="CX18" i="1"/>
  <c r="CY18" i="1"/>
  <c r="CZ18" i="1"/>
  <c r="DB18" i="1"/>
  <c r="DC18" i="1"/>
  <c r="DD18" i="1"/>
  <c r="DE18" i="1"/>
  <c r="EW18" i="1"/>
  <c r="EX18" i="1"/>
  <c r="EY18" i="1"/>
  <c r="FA18" i="1"/>
  <c r="FB18" i="1"/>
  <c r="FC18" i="1"/>
  <c r="FE18" i="1"/>
  <c r="FF18" i="1"/>
  <c r="FG18" i="1"/>
  <c r="FI18" i="1"/>
  <c r="FJ18" i="1"/>
  <c r="FK18" i="1"/>
  <c r="FL18" i="1"/>
  <c r="C21" i="1"/>
  <c r="D21" i="1"/>
  <c r="BQ21" i="1"/>
  <c r="BR21" i="1"/>
  <c r="BS21" i="1"/>
  <c r="BU21" i="1"/>
  <c r="BV21" i="1"/>
  <c r="BW21" i="1"/>
  <c r="BY21" i="1"/>
  <c r="BZ21" i="1"/>
  <c r="CA21" i="1"/>
  <c r="CC21" i="1"/>
  <c r="CD21" i="1"/>
  <c r="CE21" i="1"/>
  <c r="CG21" i="1"/>
  <c r="CH21" i="1"/>
  <c r="CI21" i="1"/>
  <c r="CJ21" i="1"/>
  <c r="C22" i="1"/>
  <c r="D22" i="1"/>
  <c r="AV22" i="1"/>
  <c r="AW22" i="1"/>
  <c r="AX22" i="1"/>
  <c r="BO22" i="1"/>
  <c r="BQ22" i="1"/>
  <c r="BR22" i="1"/>
  <c r="BS22" i="1"/>
  <c r="BU22" i="1"/>
  <c r="BV22" i="1"/>
  <c r="BW22" i="1"/>
  <c r="BY22" i="1"/>
  <c r="BZ22" i="1"/>
  <c r="CA22" i="1"/>
  <c r="CC22" i="1"/>
  <c r="CD22" i="1"/>
  <c r="CE22" i="1"/>
  <c r="CG22" i="1"/>
  <c r="CH22" i="1"/>
  <c r="CI22" i="1"/>
  <c r="CJ22" i="1"/>
  <c r="CL22" i="1"/>
  <c r="CM22" i="1"/>
  <c r="CN22" i="1"/>
  <c r="CP22" i="1"/>
  <c r="CQ22" i="1"/>
  <c r="CR22" i="1"/>
  <c r="CT22" i="1"/>
  <c r="CU22" i="1"/>
  <c r="CV22" i="1"/>
  <c r="CX22" i="1"/>
  <c r="CY22" i="1"/>
  <c r="CZ22" i="1"/>
  <c r="DB22" i="1"/>
  <c r="DC22" i="1"/>
  <c r="DD22" i="1"/>
  <c r="DE22" i="1"/>
  <c r="C23" i="1"/>
  <c r="D23" i="1"/>
  <c r="EB23" i="1"/>
  <c r="EC23" i="1"/>
  <c r="ED23" i="1"/>
  <c r="EF23" i="1"/>
  <c r="EH23" i="1"/>
  <c r="EJ23" i="1"/>
  <c r="EK23" i="1"/>
  <c r="EL23" i="1"/>
  <c r="EN23" i="1"/>
  <c r="EO23" i="1"/>
  <c r="EP23" i="1"/>
  <c r="ER23" i="1"/>
  <c r="ES23" i="1"/>
  <c r="ET23" i="1"/>
  <c r="EU23" i="1"/>
  <c r="FL23" i="1"/>
  <c r="C25" i="1"/>
  <c r="D25" i="1"/>
  <c r="AV25" i="1"/>
  <c r="AW25" i="1"/>
  <c r="AX25" i="1"/>
  <c r="AZ25" i="1"/>
  <c r="BA25" i="1"/>
  <c r="BB25" i="1"/>
  <c r="BD25" i="1"/>
  <c r="BE25" i="1"/>
  <c r="BF25" i="1"/>
  <c r="BH25" i="1"/>
  <c r="BI25" i="1"/>
  <c r="BJ25" i="1"/>
  <c r="BL25" i="1"/>
  <c r="BM25" i="1"/>
  <c r="BN25" i="1"/>
  <c r="BO25" i="1"/>
  <c r="EB25" i="1"/>
  <c r="EC25" i="1"/>
  <c r="ED25" i="1"/>
  <c r="EF25" i="1"/>
  <c r="EG25" i="1"/>
  <c r="EH25" i="1"/>
  <c r="EJ25" i="1"/>
  <c r="EK25" i="1"/>
  <c r="EL25" i="1"/>
  <c r="EN25" i="1"/>
  <c r="EO25" i="1"/>
  <c r="EP25" i="1"/>
  <c r="ER25" i="1"/>
  <c r="ES25" i="1"/>
  <c r="ET25" i="1"/>
  <c r="EU25" i="1"/>
  <c r="FL25" i="1"/>
  <c r="C26" i="1"/>
  <c r="D26" i="1"/>
  <c r="CL26" i="1"/>
  <c r="CM26" i="1"/>
  <c r="CN26" i="1"/>
  <c r="CP26" i="1"/>
  <c r="CQ26" i="1"/>
  <c r="CR26" i="1"/>
  <c r="CT26" i="1"/>
  <c r="CU26" i="1"/>
  <c r="CV26" i="1"/>
  <c r="CX26" i="1"/>
  <c r="CY26" i="1"/>
  <c r="CZ26" i="1"/>
  <c r="DB26" i="1"/>
  <c r="DC26" i="1"/>
  <c r="DD26" i="1"/>
  <c r="DE26" i="1"/>
  <c r="EW26" i="1"/>
  <c r="EX26" i="1"/>
  <c r="EY26" i="1"/>
  <c r="FA26" i="1"/>
  <c r="FB26" i="1"/>
  <c r="FC26" i="1"/>
  <c r="FE26" i="1"/>
  <c r="FF26" i="1"/>
  <c r="FG26" i="1"/>
  <c r="FI26" i="1"/>
  <c r="FJ26" i="1"/>
  <c r="FK26" i="1"/>
  <c r="FL26" i="1"/>
  <c r="C29" i="1"/>
  <c r="D29" i="1"/>
  <c r="AQ29" i="1"/>
  <c r="AR29" i="1"/>
  <c r="AS29" i="1"/>
  <c r="AT29" i="1"/>
  <c r="CT29" i="1"/>
  <c r="CU29" i="1"/>
  <c r="CV29" i="1"/>
  <c r="CX29" i="1"/>
  <c r="CY29" i="1"/>
  <c r="CZ29" i="1"/>
  <c r="DB29" i="1"/>
  <c r="DC29" i="1"/>
  <c r="DD29" i="1"/>
  <c r="DE29" i="1"/>
  <c r="DS29" i="1"/>
  <c r="DT29" i="1"/>
  <c r="DU29" i="1"/>
  <c r="DW29" i="1"/>
  <c r="DX29" i="1"/>
  <c r="DY29" i="1"/>
  <c r="DZ29" i="1"/>
  <c r="C31" i="1"/>
  <c r="D31" i="1"/>
  <c r="BQ31" i="1"/>
  <c r="BR31" i="1"/>
  <c r="BS31" i="1"/>
  <c r="BU31" i="1"/>
  <c r="BV31" i="1"/>
  <c r="BW31" i="1"/>
  <c r="BY31" i="1"/>
  <c r="BZ31" i="1"/>
  <c r="CA31" i="1"/>
  <c r="CC31" i="1"/>
  <c r="CD31" i="1"/>
  <c r="CE31" i="1"/>
  <c r="CG31" i="1"/>
  <c r="CH31" i="1"/>
  <c r="CI31" i="1"/>
  <c r="CJ31" i="1"/>
  <c r="EW31" i="1"/>
  <c r="EX31" i="1"/>
  <c r="EY31" i="1"/>
  <c r="FA31" i="1"/>
  <c r="FB31" i="1"/>
  <c r="FC31" i="1"/>
  <c r="FE31" i="1"/>
  <c r="FF31" i="1"/>
  <c r="FG31" i="1"/>
  <c r="FI31" i="1"/>
  <c r="FJ31" i="1"/>
  <c r="FK31" i="1"/>
  <c r="FL31" i="1"/>
  <c r="C32" i="1"/>
  <c r="D32" i="1"/>
  <c r="AA32" i="1"/>
  <c r="AB32" i="1"/>
  <c r="AC32" i="1"/>
  <c r="AE32" i="1"/>
  <c r="AF32" i="1"/>
  <c r="AG32" i="1"/>
  <c r="AQ32" i="1"/>
  <c r="AR32" i="1"/>
  <c r="AS32" i="1"/>
  <c r="AT32" i="1"/>
  <c r="BL32" i="1"/>
  <c r="BM32" i="1"/>
  <c r="BN32" i="1"/>
  <c r="BO32" i="1"/>
  <c r="EN32" i="1"/>
  <c r="EO32" i="1"/>
  <c r="EP32" i="1"/>
  <c r="ER32" i="1"/>
  <c r="ES32" i="1"/>
  <c r="ET32" i="1"/>
  <c r="EU32" i="1"/>
  <c r="FL32" i="1"/>
  <c r="C35" i="1"/>
  <c r="D35" i="1"/>
  <c r="AA35" i="1"/>
  <c r="AB35" i="1"/>
  <c r="AC35" i="1"/>
  <c r="AE35" i="1"/>
  <c r="AF35" i="1"/>
  <c r="AG35" i="1"/>
  <c r="AI35" i="1"/>
  <c r="AJ35" i="1"/>
  <c r="AK35" i="1"/>
  <c r="AM35" i="1"/>
  <c r="AO35" i="1"/>
  <c r="AQ35" i="1"/>
  <c r="AR35" i="1"/>
  <c r="AS35" i="1"/>
  <c r="AT35" i="1"/>
  <c r="AV35" i="1"/>
  <c r="AW35" i="1"/>
  <c r="AX35" i="1"/>
  <c r="AZ35" i="1"/>
  <c r="BA35" i="1"/>
  <c r="BB35" i="1"/>
  <c r="BD35" i="1"/>
  <c r="BE35" i="1"/>
  <c r="BF35" i="1"/>
  <c r="BH35" i="1"/>
  <c r="BI35" i="1"/>
  <c r="BJ35" i="1"/>
  <c r="BL35" i="1"/>
  <c r="BM35" i="1"/>
  <c r="BN35" i="1"/>
  <c r="BO35" i="1"/>
  <c r="C36" i="1"/>
  <c r="D36" i="1"/>
  <c r="AV36" i="1"/>
  <c r="AW36" i="1"/>
  <c r="AX36" i="1"/>
  <c r="AZ36" i="1"/>
  <c r="BA36" i="1"/>
  <c r="BB36" i="1"/>
  <c r="BD36" i="1"/>
  <c r="BE36" i="1"/>
  <c r="BF36" i="1"/>
  <c r="BH36" i="1"/>
  <c r="BI36" i="1"/>
  <c r="BJ36" i="1"/>
  <c r="BL36" i="1"/>
  <c r="BM36" i="1"/>
  <c r="BN36" i="1"/>
  <c r="BO36" i="1"/>
  <c r="BQ36" i="1"/>
  <c r="BR36" i="1"/>
  <c r="BS36" i="1"/>
  <c r="BU36" i="1"/>
  <c r="BV36" i="1"/>
  <c r="BW36" i="1"/>
  <c r="BY36" i="1"/>
  <c r="BZ36" i="1"/>
  <c r="CA36" i="1"/>
  <c r="CC36" i="1"/>
  <c r="CD36" i="1"/>
  <c r="CE36" i="1"/>
  <c r="CG36" i="1"/>
  <c r="CH36" i="1"/>
  <c r="CI36" i="1"/>
  <c r="CJ36" i="1"/>
  <c r="E2" i="6"/>
  <c r="I2" i="6"/>
  <c r="K2" i="6"/>
  <c r="E4" i="6"/>
  <c r="H4" i="6"/>
  <c r="J4" i="6"/>
  <c r="K4" i="6"/>
  <c r="D5" i="6"/>
  <c r="I5" i="6"/>
  <c r="K5" i="6"/>
  <c r="E2" i="4"/>
  <c r="I2" i="4"/>
  <c r="J2" i="4"/>
  <c r="K2" i="4"/>
  <c r="D4" i="4"/>
  <c r="I4" i="4"/>
  <c r="J4" i="4"/>
  <c r="K4" i="4"/>
  <c r="E5" i="4"/>
  <c r="H5" i="4"/>
  <c r="J5" i="4"/>
  <c r="K5" i="4"/>
  <c r="C9" i="2"/>
  <c r="D9" i="2"/>
  <c r="AV9" i="2"/>
  <c r="AW9" i="2"/>
  <c r="AX9" i="2"/>
  <c r="BD9" i="2"/>
  <c r="BE9" i="2"/>
  <c r="BF9" i="2"/>
  <c r="BH9" i="2"/>
  <c r="BI9" i="2"/>
  <c r="BJ9" i="2"/>
  <c r="BL9" i="2"/>
  <c r="BM9" i="2"/>
  <c r="BN9" i="2"/>
  <c r="BO9" i="2"/>
  <c r="DK9" i="2"/>
  <c r="DL9" i="2"/>
  <c r="DM9" i="2"/>
  <c r="DO9" i="2"/>
  <c r="DP9" i="2"/>
  <c r="DQ9" i="2"/>
  <c r="DZ9" i="2"/>
  <c r="EW9" i="2"/>
  <c r="EX9" i="2"/>
  <c r="EY9" i="2"/>
  <c r="FA9" i="2"/>
  <c r="FB9" i="2"/>
  <c r="FC9" i="2"/>
  <c r="FE9" i="2"/>
  <c r="FF9" i="2"/>
  <c r="FG9" i="2"/>
  <c r="FI9" i="2"/>
  <c r="FJ9" i="2"/>
  <c r="FK9" i="2"/>
  <c r="FL9" i="2"/>
  <c r="C10" i="2"/>
  <c r="D10" i="2"/>
  <c r="AM10" i="2"/>
  <c r="AN10" i="2"/>
  <c r="AO10" i="2"/>
  <c r="AQ10" i="2"/>
  <c r="AR10" i="2"/>
  <c r="AS10" i="2"/>
  <c r="AT10" i="2"/>
  <c r="ER10" i="2"/>
  <c r="ES10" i="2"/>
  <c r="ET10" i="2"/>
  <c r="EU10" i="2"/>
  <c r="FL10" i="2"/>
  <c r="C11" i="2"/>
  <c r="D11" i="2"/>
  <c r="AV11" i="2"/>
  <c r="AW11" i="2"/>
  <c r="AX11" i="2"/>
  <c r="AZ11" i="2"/>
  <c r="BA11" i="2"/>
  <c r="BB11" i="2"/>
  <c r="BD11" i="2"/>
  <c r="BE11" i="2"/>
  <c r="BF11" i="2"/>
  <c r="BL11" i="2"/>
  <c r="BM11" i="2"/>
  <c r="BN11" i="2"/>
  <c r="BO11" i="2"/>
  <c r="EB11" i="2"/>
  <c r="EC11" i="2"/>
  <c r="ED11" i="2"/>
  <c r="EF11" i="2"/>
  <c r="EG11" i="2"/>
  <c r="EH11" i="2"/>
  <c r="EJ11" i="2"/>
  <c r="EK11" i="2"/>
  <c r="EL11" i="2"/>
  <c r="EN11" i="2"/>
  <c r="EO11" i="2"/>
  <c r="EP11" i="2"/>
  <c r="EU11" i="2"/>
  <c r="FL11" i="2"/>
</calcChain>
</file>

<file path=xl/sharedStrings.xml><?xml version="1.0" encoding="utf-8"?>
<sst xmlns="http://schemas.openxmlformats.org/spreadsheetml/2006/main" count="2669" uniqueCount="107">
  <si>
    <t>Result</t>
  </si>
  <si>
    <t>Points</t>
  </si>
  <si>
    <t>Round 1</t>
  </si>
  <si>
    <t>Round 2</t>
  </si>
  <si>
    <t>Round 3</t>
  </si>
  <si>
    <t>Round 4</t>
  </si>
  <si>
    <t>Round 5</t>
  </si>
  <si>
    <t>Win</t>
  </si>
  <si>
    <t>Team</t>
  </si>
  <si>
    <t>Score</t>
  </si>
  <si>
    <t>Tie</t>
  </si>
  <si>
    <t>Pink</t>
  </si>
  <si>
    <t>Blue</t>
  </si>
  <si>
    <t>Loss</t>
  </si>
  <si>
    <t>Yellow</t>
  </si>
  <si>
    <t>Jerseys</t>
  </si>
  <si>
    <t>Goals</t>
  </si>
  <si>
    <t>plus 1 per</t>
  </si>
  <si>
    <t>Day 1</t>
  </si>
  <si>
    <t>Day 2</t>
  </si>
  <si>
    <t>Day 3</t>
  </si>
  <si>
    <t>Day 4</t>
  </si>
  <si>
    <t>Day 5</t>
  </si>
  <si>
    <t>LAST</t>
  </si>
  <si>
    <t>FIRST</t>
  </si>
  <si>
    <t>Avg Goals/Game</t>
  </si>
  <si>
    <t>Avg Pts/Gamr</t>
  </si>
  <si>
    <t>Team Pts</t>
  </si>
  <si>
    <t>Total</t>
  </si>
  <si>
    <t>Total On Day</t>
  </si>
  <si>
    <t>Barnhart</t>
  </si>
  <si>
    <t>Elly</t>
  </si>
  <si>
    <t>Out</t>
  </si>
  <si>
    <t>Bieger</t>
  </si>
  <si>
    <t>Mackenzie</t>
  </si>
  <si>
    <t>Breton</t>
  </si>
  <si>
    <t>Amelia</t>
  </si>
  <si>
    <t>Camalleri</t>
  </si>
  <si>
    <t>Ella</t>
  </si>
  <si>
    <t>Chizuk</t>
  </si>
  <si>
    <t>Jordan</t>
  </si>
  <si>
    <t>Closson</t>
  </si>
  <si>
    <t>Marisa</t>
  </si>
  <si>
    <t>Contento</t>
  </si>
  <si>
    <t>Felicity</t>
  </si>
  <si>
    <t>Crounse</t>
  </si>
  <si>
    <t>Lucy</t>
  </si>
  <si>
    <t>D'Ovidio</t>
  </si>
  <si>
    <t>Brook</t>
  </si>
  <si>
    <t>Gates</t>
  </si>
  <si>
    <t>Megan</t>
  </si>
  <si>
    <t>Gerber</t>
  </si>
  <si>
    <t>Gifford</t>
  </si>
  <si>
    <t>Dinah</t>
  </si>
  <si>
    <t>Honcharuk</t>
  </si>
  <si>
    <t>Tamara</t>
  </si>
  <si>
    <t>Hughes</t>
  </si>
  <si>
    <t>Madi</t>
  </si>
  <si>
    <t>Lange</t>
  </si>
  <si>
    <t>Diane</t>
  </si>
  <si>
    <t>Marino</t>
  </si>
  <si>
    <t>Brianna</t>
  </si>
  <si>
    <t>Miller</t>
  </si>
  <si>
    <t>Lyndsey</t>
  </si>
  <si>
    <t>Nelson</t>
  </si>
  <si>
    <t>Caitlin</t>
  </si>
  <si>
    <t>Slate</t>
  </si>
  <si>
    <t>McKenna</t>
  </si>
  <si>
    <t>Spring</t>
  </si>
  <si>
    <t>Kaitlyn</t>
  </si>
  <si>
    <t>Storrow</t>
  </si>
  <si>
    <t>Sofia</t>
  </si>
  <si>
    <t>Thompson</t>
  </si>
  <si>
    <t>Cameron</t>
  </si>
  <si>
    <t>Torriani</t>
  </si>
  <si>
    <t>Chiara</t>
  </si>
  <si>
    <t>Turaj</t>
  </si>
  <si>
    <t>Lena</t>
  </si>
  <si>
    <t>Upadhyay</t>
  </si>
  <si>
    <t>Lavanya</t>
  </si>
  <si>
    <t>Weber</t>
  </si>
  <si>
    <t>Emily</t>
  </si>
  <si>
    <t>Whalen</t>
  </si>
  <si>
    <t>Mady</t>
  </si>
  <si>
    <t>Williams</t>
  </si>
  <si>
    <t>Sarah</t>
  </si>
  <si>
    <t>Yahoudy</t>
  </si>
  <si>
    <t>Alana</t>
  </si>
  <si>
    <t>Day 6</t>
  </si>
  <si>
    <t>Day 7</t>
  </si>
  <si>
    <t>Day 8</t>
  </si>
  <si>
    <t>Goals Against</t>
  </si>
  <si>
    <t>Avg Pts/Game</t>
  </si>
  <si>
    <t>Avg GA/Game</t>
  </si>
  <si>
    <t>GA</t>
  </si>
  <si>
    <t>Canzoneri</t>
  </si>
  <si>
    <t>Ada</t>
  </si>
  <si>
    <t>Rest</t>
  </si>
  <si>
    <t>Champion</t>
  </si>
  <si>
    <t>Karissa</t>
  </si>
  <si>
    <t>Childs</t>
  </si>
  <si>
    <t>Cameryn</t>
  </si>
  <si>
    <t>McCrosson</t>
  </si>
  <si>
    <t>Madeline</t>
  </si>
  <si>
    <t>McCane</t>
  </si>
  <si>
    <t>Haywood</t>
  </si>
  <si>
    <t>Kody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</si>
</sst>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name val="Calibri"/>
      <family val="2"/>
    </font>
    <font>
      <b/>
      <sz val="11"/>
      <color theme="0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rgb="FF000000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0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0" fillId="0" borderId="21" xfId="0" applyBorder="1"/>
    <xf numFmtId="0" fontId="16" fillId="0" borderId="1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20" fillId="0" borderId="11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0" fillId="36" borderId="13" xfId="0" applyFont="1" applyFill="1" applyBorder="1" applyAlignment="1">
      <alignment horizontal="center"/>
    </xf>
    <xf numFmtId="0" fontId="0" fillId="36" borderId="0" xfId="0" applyFill="1" applyAlignment="1">
      <alignment horizontal="center" wrapText="1"/>
    </xf>
    <xf numFmtId="0" fontId="20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0" fillId="36" borderId="14" xfId="0" applyFill="1" applyBorder="1" applyAlignment="1">
      <alignment horizontal="center"/>
    </xf>
    <xf numFmtId="0" fontId="20" fillId="36" borderId="10" xfId="0" applyFont="1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35" borderId="18" xfId="0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3" fillId="37" borderId="18" xfId="0" applyFont="1" applyFill="1" applyBorder="1" applyAlignment="1">
      <alignment horizontal="center"/>
    </xf>
    <xf numFmtId="0" fontId="13" fillId="37" borderId="19" xfId="0" applyFont="1" applyFill="1" applyBorder="1" applyAlignment="1">
      <alignment horizontal="center"/>
    </xf>
    <xf numFmtId="0" fontId="20" fillId="34" borderId="13" xfId="0" applyFont="1" applyFill="1" applyBorder="1" applyAlignment="1">
      <alignment horizontal="center"/>
    </xf>
    <xf numFmtId="0" fontId="0" fillId="34" borderId="0" xfId="0" applyFill="1" applyAlignment="1">
      <alignment horizontal="center" wrapText="1"/>
    </xf>
    <xf numFmtId="0" fontId="20" fillId="34" borderId="0" xfId="0" applyFont="1" applyFill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4" borderId="0" xfId="0" applyFill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0" fillId="0" borderId="17" xfId="0" applyBorder="1"/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49" fontId="20" fillId="36" borderId="13" xfId="0" applyNumberFormat="1" applyFont="1" applyFill="1" applyBorder="1" applyAlignment="1">
      <alignment horizontal="center"/>
    </xf>
    <xf numFmtId="0" fontId="0" fillId="0" borderId="27" xfId="0" applyBorder="1" applyAlignment="1">
      <alignment horizontal="center" wrapText="1"/>
    </xf>
    <xf numFmtId="164" fontId="0" fillId="35" borderId="0" xfId="0" applyNumberFormat="1" applyFill="1" applyAlignment="1">
      <alignment horizontal="center"/>
    </xf>
    <xf numFmtId="164" fontId="0" fillId="35" borderId="0" xfId="0" applyNumberFormat="1" applyFill="1"/>
    <xf numFmtId="164" fontId="0" fillId="0" borderId="0" xfId="0" applyNumberFormat="1"/>
    <xf numFmtId="164" fontId="0" fillId="0" borderId="2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0" xfId="0" applyNumberFormat="1" applyAlignment="1">
      <alignment horizontal="center" wrapText="1"/>
    </xf>
    <xf numFmtId="164" fontId="20" fillId="0" borderId="11" xfId="0" applyNumberFormat="1" applyFon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36" borderId="0" xfId="0" applyNumberFormat="1" applyFill="1" applyAlignment="1">
      <alignment horizontal="center" wrapText="1"/>
    </xf>
    <xf numFmtId="164" fontId="20" fillId="36" borderId="0" xfId="0" applyNumberFormat="1" applyFont="1" applyFill="1" applyAlignment="1">
      <alignment horizontal="center"/>
    </xf>
    <xf numFmtId="164" fontId="0" fillId="36" borderId="0" xfId="0" applyNumberFormat="1" applyFill="1" applyAlignment="1">
      <alignment horizontal="center"/>
    </xf>
    <xf numFmtId="164" fontId="20" fillId="0" borderId="0" xfId="0" applyNumberFormat="1" applyFont="1" applyAlignment="1">
      <alignment horizontal="center"/>
    </xf>
    <xf numFmtId="164" fontId="0" fillId="0" borderId="16" xfId="0" applyNumberFormat="1" applyBorder="1" applyAlignment="1">
      <alignment horizontal="center" wrapText="1"/>
    </xf>
    <xf numFmtId="164" fontId="20" fillId="0" borderId="16" xfId="0" applyNumberFormat="1" applyFon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 wrapText="1"/>
    </xf>
    <xf numFmtId="0" fontId="19" fillId="0" borderId="30" xfId="0" applyFont="1" applyBorder="1" applyAlignment="1">
      <alignment horizontal="center" vertical="top"/>
    </xf>
    <xf numFmtId="164" fontId="0" fillId="35" borderId="10" xfId="0" applyNumberFormat="1" applyFill="1" applyBorder="1" applyAlignment="1">
      <alignment horizontal="center"/>
    </xf>
    <xf numFmtId="164" fontId="0" fillId="35" borderId="13" xfId="0" applyNumberFormat="1" applyFill="1" applyBorder="1" applyAlignment="1">
      <alignment horizontal="center"/>
    </xf>
    <xf numFmtId="164" fontId="0" fillId="35" borderId="15" xfId="0" applyNumberFormat="1" applyFill="1" applyBorder="1" applyAlignment="1">
      <alignment horizontal="center"/>
    </xf>
    <xf numFmtId="0" fontId="19" fillId="0" borderId="31" xfId="0" applyFont="1" applyBorder="1" applyAlignment="1">
      <alignment horizontal="center" vertical="top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7" xfId="0" applyBorder="1" applyAlignment="1">
      <alignment horizontal="center"/>
    </xf>
    <xf numFmtId="0" fontId="19" fillId="0" borderId="36" xfId="0" applyFont="1" applyBorder="1" applyAlignment="1">
      <alignment horizontal="center" vertical="top"/>
    </xf>
    <xf numFmtId="0" fontId="19" fillId="0" borderId="38" xfId="0" applyFont="1" applyBorder="1" applyAlignment="1">
      <alignment horizontal="center" vertical="top"/>
    </xf>
    <xf numFmtId="0" fontId="0" fillId="36" borderId="32" xfId="0" applyFill="1" applyBorder="1" applyAlignment="1">
      <alignment horizontal="center"/>
    </xf>
    <xf numFmtId="0" fontId="0" fillId="36" borderId="34" xfId="0" applyFill="1" applyBorder="1" applyAlignment="1">
      <alignment horizontal="center"/>
    </xf>
    <xf numFmtId="0" fontId="0" fillId="36" borderId="27" xfId="0" applyFill="1" applyBorder="1" applyAlignment="1">
      <alignment horizontal="center"/>
    </xf>
    <xf numFmtId="164" fontId="0" fillId="36" borderId="27" xfId="0" applyNumberFormat="1" applyFill="1" applyBorder="1" applyAlignment="1">
      <alignment horizontal="center" wrapText="1"/>
    </xf>
    <xf numFmtId="0" fontId="20" fillId="36" borderId="27" xfId="0" applyFont="1" applyFill="1" applyBorder="1" applyAlignment="1">
      <alignment horizontal="center"/>
    </xf>
    <xf numFmtId="164" fontId="0" fillId="36" borderId="27" xfId="0" applyNumberFormat="1" applyFill="1" applyBorder="1" applyAlignment="1">
      <alignment horizontal="center"/>
    </xf>
    <xf numFmtId="164" fontId="0" fillId="36" borderId="28" xfId="0" applyNumberFormat="1" applyFill="1" applyBorder="1" applyAlignment="1">
      <alignment horizontal="center"/>
    </xf>
    <xf numFmtId="0" fontId="19" fillId="0" borderId="40" xfId="0" applyFont="1" applyBorder="1" applyAlignment="1">
      <alignment horizontal="center" vertical="top"/>
    </xf>
    <xf numFmtId="164" fontId="0" fillId="0" borderId="41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36" borderId="33" xfId="0" applyNumberFormat="1" applyFill="1" applyBorder="1" applyAlignment="1">
      <alignment horizontal="center"/>
    </xf>
    <xf numFmtId="164" fontId="0" fillId="36" borderId="35" xfId="0" applyNumberFormat="1" applyFill="1" applyBorder="1" applyAlignment="1">
      <alignment horizontal="center"/>
    </xf>
    <xf numFmtId="0" fontId="0" fillId="34" borderId="32" xfId="0" applyFill="1" applyBorder="1" applyAlignment="1">
      <alignment horizontal="center"/>
    </xf>
    <xf numFmtId="0" fontId="0" fillId="34" borderId="34" xfId="0" applyFill="1" applyBorder="1" applyAlignment="1">
      <alignment horizontal="center"/>
    </xf>
    <xf numFmtId="0" fontId="0" fillId="34" borderId="27" xfId="0" applyFill="1" applyBorder="1" applyAlignment="1">
      <alignment horizontal="center"/>
    </xf>
    <xf numFmtId="164" fontId="16" fillId="0" borderId="19" xfId="0" applyNumberFormat="1" applyFont="1" applyBorder="1" applyAlignment="1">
      <alignment horizontal="center"/>
    </xf>
    <xf numFmtId="49" fontId="0" fillId="0" borderId="0" xfId="0" applyNumberFormat="1"/>
    <xf numFmtId="2" fontId="0" fillId="0" borderId="0" xfId="0" applyNumberFormat="1"/>
    <xf numFmtId="0" fontId="22" fillId="33" borderId="21" xfId="0" applyFont="1" applyFill="1" applyBorder="1" applyAlignment="1">
      <alignment horizontal="center"/>
    </xf>
    <xf numFmtId="0" fontId="22" fillId="34" borderId="21" xfId="0" applyFont="1" applyFill="1" applyBorder="1" applyAlignment="1">
      <alignment horizontal="center"/>
    </xf>
    <xf numFmtId="164" fontId="0" fillId="35" borderId="18" xfId="0" applyNumberFormat="1" applyFill="1" applyBorder="1" applyAlignment="1">
      <alignment horizontal="center"/>
    </xf>
    <xf numFmtId="0" fontId="0" fillId="34" borderId="39" xfId="0" applyFill="1" applyBorder="1" applyAlignment="1">
      <alignment horizontal="center"/>
    </xf>
    <xf numFmtId="0" fontId="0" fillId="0" borderId="29" xfId="0" applyBorder="1" applyAlignment="1">
      <alignment horizontal="center" wrapText="1"/>
    </xf>
    <xf numFmtId="0" fontId="0" fillId="34" borderId="29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4" borderId="29" xfId="0" applyFill="1" applyBorder="1" applyAlignment="1">
      <alignment horizontal="center" wrapText="1"/>
    </xf>
    <xf numFmtId="164" fontId="0" fillId="34" borderId="0" xfId="0" applyNumberFormat="1" applyFill="1" applyAlignment="1">
      <alignment horizontal="center" wrapText="1"/>
    </xf>
    <xf numFmtId="164" fontId="21" fillId="38" borderId="0" xfId="0" applyNumberFormat="1" applyFont="1" applyFill="1" applyAlignment="1">
      <alignment horizontal="center" wrapText="1"/>
    </xf>
    <xf numFmtId="0" fontId="20" fillId="34" borderId="15" xfId="0" applyFont="1" applyFill="1" applyBorder="1" applyAlignment="1">
      <alignment horizontal="center"/>
    </xf>
    <xf numFmtId="0" fontId="0" fillId="34" borderId="16" xfId="0" applyFill="1" applyBorder="1" applyAlignment="1">
      <alignment horizontal="center" wrapText="1"/>
    </xf>
    <xf numFmtId="0" fontId="20" fillId="34" borderId="16" xfId="0" applyFont="1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164" fontId="13" fillId="37" borderId="18" xfId="0" applyNumberFormat="1" applyFont="1" applyFill="1" applyBorder="1" applyAlignment="1">
      <alignment horizontal="center"/>
    </xf>
    <xf numFmtId="164" fontId="13" fillId="37" borderId="21" xfId="0" applyNumberFormat="1" applyFont="1" applyFill="1" applyBorder="1" applyAlignment="1">
      <alignment horizontal="center"/>
    </xf>
    <xf numFmtId="164" fontId="13" fillId="37" borderId="19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34" borderId="41" xfId="0" applyNumberFormat="1" applyFill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164" fontId="0" fillId="34" borderId="33" xfId="0" applyNumberFormat="1" applyFill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0" fontId="23" fillId="0" borderId="30" xfId="0" applyFont="1" applyBorder="1" applyAlignment="1">
      <alignment horizontal="center" vertical="top"/>
    </xf>
    <xf numFmtId="164" fontId="0" fillId="35" borderId="11" xfId="0" applyNumberFormat="1" applyFill="1" applyBorder="1" applyAlignment="1">
      <alignment horizontal="center"/>
    </xf>
    <xf numFmtId="0" fontId="23" fillId="0" borderId="36" xfId="0" applyFont="1" applyBorder="1" applyAlignment="1">
      <alignment horizontal="center" vertical="top"/>
    </xf>
    <xf numFmtId="164" fontId="0" fillId="35" borderId="43" xfId="0" applyNumberFormat="1" applyFill="1" applyBorder="1" applyAlignment="1">
      <alignment horizontal="center"/>
    </xf>
    <xf numFmtId="164" fontId="0" fillId="35" borderId="42" xfId="0" applyNumberFormat="1" applyFill="1" applyBorder="1" applyAlignment="1">
      <alignment horizontal="center"/>
    </xf>
    <xf numFmtId="164" fontId="0" fillId="35" borderId="37" xfId="0" applyNumberForma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  <xf numFmtId="164" fontId="16" fillId="35" borderId="13" xfId="0" applyNumberFormat="1" applyFont="1" applyFill="1" applyBorder="1" applyAlignment="1">
      <alignment horizontal="center"/>
    </xf>
    <xf numFmtId="164" fontId="16" fillId="35" borderId="42" xfId="0" applyNumberFormat="1" applyFont="1" applyFill="1" applyBorder="1" applyAlignment="1">
      <alignment horizontal="center"/>
    </xf>
    <xf numFmtId="0" fontId="22" fillId="35" borderId="30" xfId="0" applyFont="1" applyFill="1" applyBorder="1" applyAlignment="1">
      <alignment horizontal="center"/>
    </xf>
    <xf numFmtId="164" fontId="22" fillId="35" borderId="30" xfId="0" applyNumberFormat="1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  <xf numFmtId="0" fontId="0" fillId="35" borderId="30" xfId="0" applyFill="1" applyBorder="1" applyAlignment="1">
      <alignment horizontal="center"/>
    </xf>
    <xf numFmtId="0" fontId="23" fillId="0" borderId="38" xfId="0" applyFont="1" applyBorder="1" applyAlignment="1">
      <alignment horizontal="center" vertical="top"/>
    </xf>
    <xf numFmtId="0" fontId="16" fillId="35" borderId="42" xfId="0" applyFont="1" applyFill="1" applyBorder="1" applyAlignment="1">
      <alignment horizontal="center"/>
    </xf>
    <xf numFmtId="164" fontId="0" fillId="35" borderId="44" xfId="0" applyNumberFormat="1" applyFill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34" borderId="0" xfId="0" applyNumberFormat="1" applyFill="1" applyAlignment="1">
      <alignment horizontal="center"/>
    </xf>
    <xf numFmtId="164" fontId="0" fillId="34" borderId="27" xfId="0" applyNumberFormat="1" applyFill="1" applyBorder="1" applyAlignment="1">
      <alignment horizontal="center"/>
    </xf>
    <xf numFmtId="0" fontId="16" fillId="0" borderId="44" xfId="0" applyFont="1" applyBorder="1" applyAlignment="1">
      <alignment horizontal="center"/>
    </xf>
    <xf numFmtId="164" fontId="0" fillId="0" borderId="27" xfId="0" applyNumberFormat="1" applyBorder="1" applyAlignment="1">
      <alignment horizontal="center" wrapText="1"/>
    </xf>
    <xf numFmtId="0" fontId="16" fillId="35" borderId="32" xfId="0" applyFont="1" applyFill="1" applyBorder="1" applyAlignment="1">
      <alignment horizontal="center"/>
    </xf>
    <xf numFmtId="164" fontId="0" fillId="35" borderId="45" xfId="0" applyNumberFormat="1" applyFill="1" applyBorder="1" applyAlignment="1">
      <alignment horizontal="center"/>
    </xf>
    <xf numFmtId="164" fontId="0" fillId="35" borderId="46" xfId="0" applyNumberFormat="1" applyFill="1" applyBorder="1" applyAlignment="1">
      <alignment horizontal="center"/>
    </xf>
    <xf numFmtId="0" fontId="0" fillId="34" borderId="27" xfId="0" applyFill="1" applyBorder="1" applyAlignment="1">
      <alignment horizontal="center" wrapText="1"/>
    </xf>
    <xf numFmtId="164" fontId="0" fillId="34" borderId="35" xfId="0" applyNumberFormat="1" applyFill="1" applyBorder="1" applyAlignment="1">
      <alignment horizontal="center"/>
    </xf>
    <xf numFmtId="164" fontId="0" fillId="36" borderId="10" xfId="0" applyNumberFormat="1" applyFill="1" applyBorder="1" applyAlignment="1">
      <alignment horizontal="center"/>
    </xf>
    <xf numFmtId="164" fontId="0" fillId="36" borderId="13" xfId="0" applyNumberFormat="1" applyFill="1" applyBorder="1" applyAlignment="1">
      <alignment horizontal="center"/>
    </xf>
    <xf numFmtId="164" fontId="0" fillId="36" borderId="42" xfId="0" applyNumberForma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9" fillId="0" borderId="30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6" borderId="0" xfId="0" applyFill="1" applyAlignment="1">
      <alignment horizontal="center" vertical="center"/>
    </xf>
    <xf numFmtId="164" fontId="0" fillId="36" borderId="0" xfId="0" applyNumberFormat="1" applyFill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0" fillId="36" borderId="23" xfId="0" applyNumberFormat="1" applyFill="1" applyBorder="1" applyAlignment="1">
      <alignment horizontal="center"/>
    </xf>
    <xf numFmtId="0" fontId="0" fillId="34" borderId="0" xfId="0" applyFill="1" applyBorder="1" applyAlignment="1">
      <alignment horizontal="center" wrapText="1"/>
    </xf>
    <xf numFmtId="0" fontId="0" fillId="34" borderId="0" xfId="0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164" fontId="0" fillId="36" borderId="0" xfId="0" applyNumberFormat="1" applyFill="1" applyBorder="1" applyAlignment="1">
      <alignment horizontal="center" wrapText="1"/>
    </xf>
    <xf numFmtId="164" fontId="20" fillId="36" borderId="0" xfId="0" applyNumberFormat="1" applyFont="1" applyFill="1" applyBorder="1" applyAlignment="1">
      <alignment horizontal="center"/>
    </xf>
    <xf numFmtId="0" fontId="0" fillId="36" borderId="0" xfId="0" applyFill="1" applyBorder="1" applyAlignment="1">
      <alignment horizontal="center"/>
    </xf>
    <xf numFmtId="164" fontId="0" fillId="34" borderId="0" xfId="0" applyNumberFormat="1" applyFill="1" applyBorder="1" applyAlignment="1">
      <alignment horizontal="center" wrapText="1"/>
    </xf>
    <xf numFmtId="164" fontId="20" fillId="34" borderId="0" xfId="0" applyNumberFormat="1" applyFont="1" applyFill="1" applyBorder="1" applyAlignment="1">
      <alignment horizontal="center"/>
    </xf>
    <xf numFmtId="164" fontId="0" fillId="36" borderId="0" xfId="0" applyNumberForma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/>
    <xf numFmtId="0" fontId="16" fillId="0" borderId="47" xfId="0" applyFont="1" applyBorder="1" applyAlignment="1">
      <alignment horizontal="center"/>
    </xf>
    <xf numFmtId="0" fontId="16" fillId="0" borderId="48" xfId="0" applyFont="1" applyBorder="1" applyAlignment="1">
      <alignment horizontal="center"/>
    </xf>
    <xf numFmtId="0" fontId="16" fillId="0" borderId="49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16" fillId="0" borderId="0" xfId="0" applyFont="1" applyBorder="1" applyAlignment="1"/>
    <xf numFmtId="0" fontId="16" fillId="35" borderId="0" xfId="0" applyFont="1" applyFill="1" applyBorder="1" applyAlignment="1"/>
    <xf numFmtId="164" fontId="0" fillId="0" borderId="0" xfId="0" applyNumberFormat="1" applyFill="1" applyBorder="1" applyAlignment="1">
      <alignment horizontal="center" wrapText="1"/>
    </xf>
    <xf numFmtId="164" fontId="0" fillId="0" borderId="27" xfId="0" applyNumberFormat="1" applyFill="1" applyBorder="1" applyAlignment="1">
      <alignment horizontal="center" wrapText="1"/>
    </xf>
    <xf numFmtId="164" fontId="24" fillId="37" borderId="21" xfId="0" applyNumberFormat="1" applyFont="1" applyFill="1" applyBorder="1" applyAlignment="1">
      <alignment horizontal="center"/>
    </xf>
    <xf numFmtId="164" fontId="22" fillId="0" borderId="23" xfId="0" applyNumberFormat="1" applyFont="1" applyBorder="1" applyAlignment="1">
      <alignment horizontal="center"/>
    </xf>
    <xf numFmtId="164" fontId="22" fillId="0" borderId="24" xfId="0" applyNumberFormat="1" applyFont="1" applyBorder="1" applyAlignment="1">
      <alignment horizontal="center"/>
    </xf>
    <xf numFmtId="164" fontId="22" fillId="0" borderId="0" xfId="0" applyNumberFormat="1" applyFont="1" applyAlignment="1">
      <alignment horizontal="center"/>
    </xf>
    <xf numFmtId="0" fontId="22" fillId="0" borderId="0" xfId="0" applyFont="1"/>
    <xf numFmtId="0" fontId="22" fillId="0" borderId="11" xfId="0" applyFont="1" applyBorder="1" applyAlignment="1">
      <alignment horizontal="center"/>
    </xf>
    <xf numFmtId="1" fontId="22" fillId="0" borderId="10" xfId="0" applyNumberFormat="1" applyFont="1" applyBorder="1" applyAlignment="1">
      <alignment horizontal="center"/>
    </xf>
    <xf numFmtId="1" fontId="22" fillId="0" borderId="13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4">
    <dxf>
      <font>
        <b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</font>
      <numFmt numFmtId="164" formatCode="0.0"/>
      <alignment horizontal="center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rgb="FF000000"/>
        </left>
        <right/>
      </border>
    </dxf>
    <dxf>
      <font>
        <b/>
      </font>
      <numFmt numFmtId="164" formatCode="0.0"/>
      <alignment horizontal="center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rgb="FF000000"/>
        </left>
        <right/>
      </border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24FCCC-6448-4952-ACB3-AC8A895105AB}" name="Table1" displayName="Table1" ref="A1:K30" totalsRowShown="0" headerRowDxfId="53" dataDxfId="52" tableBorderDxfId="51">
  <autoFilter ref="A1:K30" xr:uid="{2E24FCCC-6448-4952-ACB3-AC8A895105AB}"/>
  <sortState xmlns:xlrd2="http://schemas.microsoft.com/office/spreadsheetml/2017/richdata2" ref="A2:K30">
    <sortCondition descending="1" ref="K1:K30"/>
  </sortState>
  <tableColumns count="11">
    <tableColumn id="1" xr3:uid="{32671E4A-C592-4BFA-BAE4-0987EFC9E684}" name="LAST" dataDxfId="50"/>
    <tableColumn id="2" xr3:uid="{24D9C2F7-157D-4D35-8A7D-654C0B7790D9}" name="FIRST" dataDxfId="49"/>
    <tableColumn id="3" xr3:uid="{BF304BED-D1FA-4295-8386-40C7EF321835}" name="Day 1" dataDxfId="48">
      <calculatedColumnFormula>'Field Players'!Y8</calculatedColumnFormula>
    </tableColumn>
    <tableColumn id="4" xr3:uid="{85A6E6A5-9CF6-4918-979C-9EFF6794C15F}" name="Day 2" dataDxfId="47">
      <calculatedColumnFormula>'Field Players'!AT8</calculatedColumnFormula>
    </tableColumn>
    <tableColumn id="5" xr3:uid="{27AD0383-1312-4531-B73A-AD6BB3AA8904}" name="Day 3" dataDxfId="46">
      <calculatedColumnFormula>'Field Players'!BO8</calculatedColumnFormula>
    </tableColumn>
    <tableColumn id="6" xr3:uid="{5C62CFCB-E35B-4C37-B9C4-CC9A358B6D2F}" name="Day 4" dataDxfId="45">
      <calculatedColumnFormula>'Field Players'!CJ8</calculatedColumnFormula>
    </tableColumn>
    <tableColumn id="7" xr3:uid="{E0E9CD5D-3907-4FF4-BFE1-E95EAFC76DA6}" name="Day 5" dataDxfId="44">
      <calculatedColumnFormula>'Field Players'!DE8</calculatedColumnFormula>
    </tableColumn>
    <tableColumn id="8" xr3:uid="{40C98886-F163-4245-8E04-89EA9966EB19}" name="Day 6" dataDxfId="15">
      <calculatedColumnFormula>'Field Players'!DZ8</calculatedColumnFormula>
    </tableColumn>
    <tableColumn id="9" xr3:uid="{7C154296-5339-497B-9A88-A4D5CFBCDD3B}" name="Day 7" dataDxfId="11">
      <calculatedColumnFormula>'Field Players'!EU8</calculatedColumnFormula>
    </tableColumn>
    <tableColumn id="10" xr3:uid="{9C7DB442-F7A9-432D-A84E-9C287DDAF64A}" name="Day 8" dataDxfId="1">
      <calculatedColumnFormula>'Field Players'!FL8</calculatedColumnFormula>
    </tableColumn>
    <tableColumn id="11" xr3:uid="{60D9BA04-38E3-40BC-9749-70A323708212}" name="Total" dataDxfId="0">
      <calculatedColumnFormula>SUM(C2:J2)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9CE06D-B755-B64F-8FCA-D1E6D7741295}" name="Table14" displayName="Table14" ref="A1:K30" totalsRowShown="0" headerRowDxfId="43" dataDxfId="42" tableBorderDxfId="41">
  <autoFilter ref="A1:K30" xr:uid="{B59CE06D-B755-B64F-8FCA-D1E6D7741295}"/>
  <sortState xmlns:xlrd2="http://schemas.microsoft.com/office/spreadsheetml/2017/richdata2" ref="A2:K30">
    <sortCondition descending="1" ref="K1:K30"/>
  </sortState>
  <tableColumns count="11">
    <tableColumn id="1" xr3:uid="{0BC5A7CB-6684-2242-8F40-A1484ABC2B1E}" name="LAST" dataDxfId="40"/>
    <tableColumn id="2" xr3:uid="{002946BE-10F7-B348-8288-15AB76A2CF76}" name="FIRST" dataDxfId="39"/>
    <tableColumn id="3" xr3:uid="{013DA9D7-EE9D-0D4B-9722-1DC7495F072A}" name="Day 1" dataDxfId="38">
      <calculatedColumnFormula>'Field Players'!G8+'Field Players'!K8+'Field Players'!O8+'Field Players'!S8+'Field Players'!W8</calculatedColumnFormula>
    </tableColumn>
    <tableColumn id="4" xr3:uid="{D1D795C5-D633-F54F-BA9B-8CBA98DB3F79}" name="Day 2" dataDxfId="37">
      <calculatedColumnFormula>'Field Players'!AB8+'Field Players'!AF8+'Field Players'!AJ8+'Field Players'!AN8+'Field Players'!AR8</calculatedColumnFormula>
    </tableColumn>
    <tableColumn id="5" xr3:uid="{8F5CE6FB-25BA-184D-BE6F-71571068FBDC}" name="Day 3" dataDxfId="36">
      <calculatedColumnFormula>'Field Players'!AW8+'Field Players'!BA8+'Field Players'!BE8+'Field Players'!BI8+'Field Players'!BM8</calculatedColumnFormula>
    </tableColumn>
    <tableColumn id="6" xr3:uid="{6A37BE2A-B67E-BA4A-8586-987C83881DB0}" name="Day 4" dataDxfId="35">
      <calculatedColumnFormula>'Field Players'!BR8+'Field Players'!BV8+'Field Players'!BZ8+'Field Players'!CD8+'Field Players'!CH8</calculatedColumnFormula>
    </tableColumn>
    <tableColumn id="7" xr3:uid="{166C4EEC-3EC7-BE40-AC68-485D90E58A10}" name="Day 5" dataDxfId="34">
      <calculatedColumnFormula>'Field Players'!CM8+'Field Players'!CQ8+'Field Players'!CU8+'Field Players'!CY8+'Field Players'!DC8</calculatedColumnFormula>
    </tableColumn>
    <tableColumn id="8" xr3:uid="{EA2FED8B-45D2-7643-9902-7169B3D65A03}" name="Day 6" dataDxfId="14">
      <calculatedColumnFormula>'Field Players'!DH8+'Field Players'!DL8+'Field Players'!DP8+'Field Players'!DT8+'Field Players'!DX8</calculatedColumnFormula>
    </tableColumn>
    <tableColumn id="9" xr3:uid="{BFED3A9D-C775-094B-B7FB-AA3768504AF9}" name="Day 7" dataDxfId="10">
      <calculatedColumnFormula>'Field Players'!EC8+'Field Players'!EG8+'Field Players'!EK8+'Field Players'!EO8+'Field Players'!ES8</calculatedColumnFormula>
    </tableColumn>
    <tableColumn id="10" xr3:uid="{0EB77D02-9140-0A44-BE3A-A380CA35E91A}" name="Day 8" dataDxfId="3">
      <calculatedColumnFormula>'Field Players'!EX8+'Field Players'!FB8+'Field Players'!FF8+'Field Players'!FJ8</calculatedColumnFormula>
    </tableColumn>
    <tableColumn id="11" xr3:uid="{45698C32-587F-8A4C-9FAF-6DD64D4DF57F}" name="Total" dataDxfId="2">
      <calculatedColumnFormula>SUM(C2:J2)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524FEC-54CE-4F18-8DE1-272A4D3495BF}" name="Table2" displayName="Table2" ref="A1:K6" totalsRowShown="0" headerRowDxfId="33" dataDxfId="32">
  <autoFilter ref="A1:K6" xr:uid="{B4524FEC-54CE-4F18-8DE1-272A4D3495BF}"/>
  <sortState xmlns:xlrd2="http://schemas.microsoft.com/office/spreadsheetml/2017/richdata2" ref="A2:K6">
    <sortCondition descending="1" ref="K1:K6"/>
  </sortState>
  <tableColumns count="11">
    <tableColumn id="1" xr3:uid="{AD028980-C15E-4A31-89C8-363E7D04DFCE}" name="LAST" dataDxfId="31"/>
    <tableColumn id="2" xr3:uid="{8E6A23FB-7C0E-422E-8AFD-0DE3586A15ED}" name="FIRST" dataDxfId="30"/>
    <tableColumn id="3" xr3:uid="{3352B66A-983D-4C44-BD87-5462EEEB0DB3}" name="Day 1" dataDxfId="29">
      <calculatedColumnFormula>GKs!Y8</calculatedColumnFormula>
    </tableColumn>
    <tableColumn id="4" xr3:uid="{E3FF6F8B-A719-4440-B6C2-27BCF0501DE8}" name="Day 2" dataDxfId="28">
      <calculatedColumnFormula>GKs!AT8</calculatedColumnFormula>
    </tableColumn>
    <tableColumn id="5" xr3:uid="{5C21932A-2D3C-4983-9622-389FC698C560}" name="Day 3" dataDxfId="27">
      <calculatedColumnFormula>GKs!BO11</calculatedColumnFormula>
    </tableColumn>
    <tableColumn id="6" xr3:uid="{EC3D8E89-AD65-4EFE-80F8-8C25C0D25673}" name="Day 4" dataDxfId="26">
      <calculatedColumnFormula>GKs!CJ8</calculatedColumnFormula>
    </tableColumn>
    <tableColumn id="7" xr3:uid="{1580A8CF-EC73-4228-99E5-875E820F11D5}" name="Day 5" dataDxfId="25">
      <calculatedColumnFormula>GKs!DE8</calculatedColumnFormula>
    </tableColumn>
    <tableColumn id="8" xr3:uid="{E1E16A1A-4B7E-4B64-8B22-ABCC518B1DB4}" name="Day 6" dataDxfId="13">
      <calculatedColumnFormula>GKs!DZ8</calculatedColumnFormula>
    </tableColumn>
    <tableColumn id="9" xr3:uid="{22833ACD-F85C-45DD-8484-06E5ED262CE3}" name="Day 7" dataDxfId="9">
      <calculatedColumnFormula>GKs!EU8</calculatedColumnFormula>
    </tableColumn>
    <tableColumn id="10" xr3:uid="{531AA848-512A-4BF6-B629-1D27E8B007B6}" name="Day 8" dataDxfId="7">
      <calculatedColumnFormula>GKs!FL8</calculatedColumnFormula>
    </tableColumn>
    <tableColumn id="11" xr3:uid="{3A834C15-C5A7-47CC-ABAF-39A314BC9A21}" name="Total" dataDxfId="6">
      <calculatedColumnFormula>SUM(C2:J2)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C5F55-AD13-B64D-BFED-8B4A5F75AC66}" name="Table25" displayName="Table25" ref="A1:K6" totalsRowShown="0" headerRowDxfId="24" dataDxfId="23">
  <autoFilter ref="A1:K6" xr:uid="{266C5F55-AD13-B64D-BFED-8B4A5F75AC66}"/>
  <sortState xmlns:xlrd2="http://schemas.microsoft.com/office/spreadsheetml/2017/richdata2" ref="A2:K6">
    <sortCondition ref="K1:K6"/>
  </sortState>
  <tableColumns count="11">
    <tableColumn id="1" xr3:uid="{395EC7B8-D59A-FD4C-A3D3-B05E1310485C}" name="LAST" dataDxfId="22"/>
    <tableColumn id="2" xr3:uid="{DFF033B2-2707-3744-80B9-651CDF620E79}" name="FIRST" dataDxfId="21"/>
    <tableColumn id="3" xr3:uid="{1AB41281-376B-464D-92E4-261D8DFCD6BF}" name="Day 1" dataDxfId="20">
      <calculatedColumnFormula>GKs!G8+GKs!K8+GKs!O8+GKs!S8+GKs!W8</calculatedColumnFormula>
    </tableColumn>
    <tableColumn id="4" xr3:uid="{3CABD07B-D14D-6046-A4E5-0F1619347DCA}" name="Day 2" dataDxfId="19">
      <calculatedColumnFormula>GKs!AB8+GKs!AF8+GKs!AJ8+GKs!AN8+GKs!AR8</calculatedColumnFormula>
    </tableColumn>
    <tableColumn id="5" xr3:uid="{BAA74131-511A-3746-A162-9E5698E0C321}" name="Day 3" dataDxfId="18">
      <calculatedColumnFormula>GKs!AW8+GKs!BA8+GKs!BE8+GKs!BI8+GKs!BM8</calculatedColumnFormula>
    </tableColumn>
    <tableColumn id="6" xr3:uid="{D1AABD0C-AE2B-EC44-B97C-F8DA65241261}" name="Day 4" dataDxfId="17">
      <calculatedColumnFormula>GKs!BR8+GKs!BV8+GKs!BZ8+GKs!CD8+GKs!CH8</calculatedColumnFormula>
    </tableColumn>
    <tableColumn id="7" xr3:uid="{A759BAAC-523D-D74D-8C91-57675FEFFF7C}" name="Day 5" dataDxfId="16">
      <calculatedColumnFormula>GKs!CM8+GKs!CQ8+GKs!CU8+GKs!CY8+GKs!DC8</calculatedColumnFormula>
    </tableColumn>
    <tableColumn id="8" xr3:uid="{4C4B63DB-D5C5-B740-B47C-E1FD2DA4AEE9}" name="Day 6" dataDxfId="12">
      <calculatedColumnFormula>GKs!DH8+GKs!DL8+GKs!DP8+GKs!DT8+GKs!DX8</calculatedColumnFormula>
    </tableColumn>
    <tableColumn id="9" xr3:uid="{CEBBA69F-1C98-3042-9CC3-CF78C83F066F}" name="Day 7" dataDxfId="8">
      <calculatedColumnFormula>GKs!EC8+GKs!EG8+GKs!EK8+GKs!EO8+GKs!ES8</calculatedColumnFormula>
    </tableColumn>
    <tableColumn id="10" xr3:uid="{E6041247-9E25-2947-B726-2FAC56122F40}" name="Day 8" dataDxfId="5">
      <calculatedColumnFormula>GKs!EX8+GKs!FB8+GKs!FF8+GKs!FJ8</calculatedColumnFormula>
    </tableColumn>
    <tableColumn id="11" xr3:uid="{63EE1379-70CC-9E47-99CB-5074F75B938A}" name="Total" dataDxfId="4">
      <calculatedColumnFormula>SUM(C2:J2)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5811-99D6-498C-9666-CDD6BB0B3B01}">
  <dimension ref="A1:FO44"/>
  <sheetViews>
    <sheetView zoomScale="70" zoomScaleNormal="70" workbookViewId="0">
      <selection activeCell="FU9" sqref="FU9"/>
    </sheetView>
  </sheetViews>
  <sheetFormatPr baseColWidth="10" defaultColWidth="8.83203125" defaultRowHeight="15" outlineLevelCol="1" x14ac:dyDescent="0.2"/>
  <cols>
    <col min="1" max="1" width="10.6640625" bestFit="1" customWidth="1"/>
    <col min="2" max="2" width="12.5" customWidth="1"/>
    <col min="3" max="3" width="18.1640625" style="1" bestFit="1" customWidth="1"/>
    <col min="4" max="4" width="15.5" style="1" bestFit="1" customWidth="1"/>
    <col min="5" max="5" width="9.5" hidden="1" customWidth="1" outlineLevel="1"/>
    <col min="6" max="24" width="8.83203125" hidden="1" customWidth="1" outlineLevel="1"/>
    <col min="25" max="25" width="12" bestFit="1" customWidth="1" collapsed="1"/>
    <col min="26" max="34" width="8.83203125" hidden="1" customWidth="1" outlineLevel="1"/>
    <col min="35" max="35" width="12.1640625" hidden="1" customWidth="1" outlineLevel="1"/>
    <col min="36" max="45" width="8.83203125" hidden="1" customWidth="1" outlineLevel="1"/>
    <col min="46" max="46" width="12.33203125" style="75" bestFit="1" customWidth="1" collapsed="1"/>
    <col min="47" max="66" width="8.83203125" hidden="1" customWidth="1" outlineLevel="1"/>
    <col min="67" max="67" width="12.1640625" bestFit="1" customWidth="1" collapsed="1"/>
    <col min="68" max="87" width="8.83203125" hidden="1" customWidth="1" outlineLevel="1"/>
    <col min="88" max="88" width="12.1640625" bestFit="1" customWidth="1" collapsed="1"/>
    <col min="89" max="108" width="8.83203125" hidden="1" customWidth="1" outlineLevel="1"/>
    <col min="109" max="109" width="11.1640625" bestFit="1" customWidth="1" collapsed="1"/>
    <col min="110" max="129" width="8.83203125" style="1" hidden="1" customWidth="1" outlineLevel="1"/>
    <col min="130" max="130" width="11.1640625" bestFit="1" customWidth="1" collapsed="1"/>
    <col min="131" max="150" width="8.83203125" hidden="1" customWidth="1" outlineLevel="1"/>
    <col min="151" max="151" width="11.1640625" bestFit="1" customWidth="1" collapsed="1"/>
    <col min="152" max="167" width="0" style="1" hidden="1" customWidth="1" outlineLevel="1"/>
    <col min="168" max="168" width="11.1640625" bestFit="1" customWidth="1" collapsed="1"/>
    <col min="169" max="171" width="8.83203125" style="206"/>
  </cols>
  <sheetData>
    <row r="1" spans="1:171" x14ac:dyDescent="0.2">
      <c r="A1" s="121" t="s">
        <v>0</v>
      </c>
      <c r="B1" s="121" t="s">
        <v>1</v>
      </c>
      <c r="E1" s="177" t="s">
        <v>2</v>
      </c>
      <c r="F1" s="178"/>
      <c r="G1" s="178"/>
      <c r="H1" s="178"/>
      <c r="I1" s="177" t="s">
        <v>3</v>
      </c>
      <c r="J1" s="178"/>
      <c r="K1" s="178"/>
      <c r="L1" s="178"/>
      <c r="M1" s="177" t="s">
        <v>4</v>
      </c>
      <c r="N1" s="178"/>
      <c r="O1" s="178"/>
      <c r="P1" s="178"/>
      <c r="Q1" s="177" t="s">
        <v>5</v>
      </c>
      <c r="R1" s="178"/>
      <c r="S1" s="178"/>
      <c r="T1" s="178"/>
      <c r="U1" s="177" t="s">
        <v>6</v>
      </c>
      <c r="V1" s="178"/>
      <c r="W1" s="178"/>
      <c r="X1" s="179"/>
      <c r="Y1" s="23"/>
      <c r="Z1" s="177" t="s">
        <v>2</v>
      </c>
      <c r="AA1" s="178"/>
      <c r="AB1" s="178"/>
      <c r="AC1" s="178"/>
      <c r="AD1" s="177" t="s">
        <v>3</v>
      </c>
      <c r="AE1" s="178"/>
      <c r="AF1" s="178"/>
      <c r="AG1" s="179"/>
      <c r="AH1" s="177" t="s">
        <v>4</v>
      </c>
      <c r="AI1" s="178"/>
      <c r="AJ1" s="178"/>
      <c r="AK1" s="178"/>
      <c r="AL1" s="177" t="s">
        <v>5</v>
      </c>
      <c r="AM1" s="178"/>
      <c r="AN1" s="178"/>
      <c r="AO1" s="179"/>
      <c r="AP1" s="177" t="s">
        <v>6</v>
      </c>
      <c r="AQ1" s="178"/>
      <c r="AR1" s="178"/>
      <c r="AS1" s="179"/>
      <c r="AT1" s="73"/>
      <c r="AU1" s="177" t="s">
        <v>2</v>
      </c>
      <c r="AV1" s="178"/>
      <c r="AW1" s="178"/>
      <c r="AX1" s="178"/>
      <c r="AY1" s="177" t="s">
        <v>3</v>
      </c>
      <c r="AZ1" s="178"/>
      <c r="BA1" s="178"/>
      <c r="BB1" s="179"/>
      <c r="BC1" s="177" t="s">
        <v>4</v>
      </c>
      <c r="BD1" s="178"/>
      <c r="BE1" s="178"/>
      <c r="BF1" s="178"/>
      <c r="BG1" s="177" t="s">
        <v>5</v>
      </c>
      <c r="BH1" s="178"/>
      <c r="BI1" s="178"/>
      <c r="BJ1" s="179"/>
      <c r="BK1" s="177" t="s">
        <v>6</v>
      </c>
      <c r="BL1" s="178"/>
      <c r="BM1" s="178"/>
      <c r="BN1" s="179"/>
      <c r="BO1" s="73"/>
      <c r="BP1" s="177" t="s">
        <v>2</v>
      </c>
      <c r="BQ1" s="178"/>
      <c r="BR1" s="178"/>
      <c r="BS1" s="178"/>
      <c r="BT1" s="177" t="s">
        <v>3</v>
      </c>
      <c r="BU1" s="178"/>
      <c r="BV1" s="178"/>
      <c r="BW1" s="179"/>
      <c r="BX1" s="177" t="s">
        <v>4</v>
      </c>
      <c r="BY1" s="178"/>
      <c r="BZ1" s="178"/>
      <c r="CA1" s="178"/>
      <c r="CB1" s="177" t="s">
        <v>5</v>
      </c>
      <c r="CC1" s="178"/>
      <c r="CD1" s="178"/>
      <c r="CE1" s="179"/>
      <c r="CF1" s="177" t="s">
        <v>6</v>
      </c>
      <c r="CG1" s="178"/>
      <c r="CH1" s="178"/>
      <c r="CI1" s="179"/>
      <c r="CJ1" s="73"/>
      <c r="CK1" s="177" t="s">
        <v>2</v>
      </c>
      <c r="CL1" s="178"/>
      <c r="CM1" s="178"/>
      <c r="CN1" s="178"/>
      <c r="CO1" s="177" t="s">
        <v>3</v>
      </c>
      <c r="CP1" s="178"/>
      <c r="CQ1" s="178"/>
      <c r="CR1" s="179"/>
      <c r="CS1" s="177" t="s">
        <v>4</v>
      </c>
      <c r="CT1" s="178"/>
      <c r="CU1" s="178"/>
      <c r="CV1" s="178"/>
      <c r="CW1" s="177" t="s">
        <v>5</v>
      </c>
      <c r="CX1" s="178"/>
      <c r="CY1" s="178"/>
      <c r="CZ1" s="179"/>
      <c r="DA1" s="177" t="s">
        <v>6</v>
      </c>
      <c r="DB1" s="178"/>
      <c r="DC1" s="178"/>
      <c r="DD1" s="179"/>
      <c r="DE1" s="22"/>
      <c r="DF1" s="177" t="s">
        <v>2</v>
      </c>
      <c r="DG1" s="178"/>
      <c r="DH1" s="178"/>
      <c r="DI1" s="178"/>
      <c r="DJ1" s="177" t="s">
        <v>3</v>
      </c>
      <c r="DK1" s="178"/>
      <c r="DL1" s="178"/>
      <c r="DM1" s="179"/>
      <c r="DN1" s="177" t="s">
        <v>4</v>
      </c>
      <c r="DO1" s="178"/>
      <c r="DP1" s="178"/>
      <c r="DQ1" s="178"/>
      <c r="DR1" s="177" t="s">
        <v>5</v>
      </c>
      <c r="DS1" s="178"/>
      <c r="DT1" s="178"/>
      <c r="DU1" s="179"/>
      <c r="DV1" s="177" t="s">
        <v>6</v>
      </c>
      <c r="DW1" s="178"/>
      <c r="DX1" s="178"/>
      <c r="DY1" s="179"/>
      <c r="DZ1" s="22"/>
      <c r="EA1" s="177" t="s">
        <v>2</v>
      </c>
      <c r="EB1" s="178"/>
      <c r="EC1" s="178"/>
      <c r="ED1" s="178"/>
      <c r="EE1" s="177" t="s">
        <v>3</v>
      </c>
      <c r="EF1" s="178"/>
      <c r="EG1" s="178"/>
      <c r="EH1" s="179"/>
      <c r="EI1" s="177" t="s">
        <v>4</v>
      </c>
      <c r="EJ1" s="178"/>
      <c r="EK1" s="178"/>
      <c r="EL1" s="178"/>
      <c r="EM1" s="177" t="s">
        <v>5</v>
      </c>
      <c r="EN1" s="178"/>
      <c r="EO1" s="178"/>
      <c r="EP1" s="179"/>
      <c r="EQ1" s="177" t="s">
        <v>6</v>
      </c>
      <c r="ER1" s="178"/>
      <c r="ES1" s="178"/>
      <c r="ET1" s="179"/>
      <c r="EU1" s="22"/>
      <c r="EV1" s="177" t="s">
        <v>2</v>
      </c>
      <c r="EW1" s="178"/>
      <c r="EX1" s="178"/>
      <c r="EY1" s="178"/>
      <c r="EZ1" s="177" t="s">
        <v>3</v>
      </c>
      <c r="FA1" s="178"/>
      <c r="FB1" s="178"/>
      <c r="FC1" s="179"/>
      <c r="FD1" s="177" t="s">
        <v>4</v>
      </c>
      <c r="FE1" s="178"/>
      <c r="FF1" s="178"/>
      <c r="FG1" s="178"/>
      <c r="FH1" s="207" t="s">
        <v>5</v>
      </c>
      <c r="FI1" s="208"/>
      <c r="FJ1" s="208"/>
      <c r="FK1" s="209"/>
      <c r="FL1" s="218"/>
      <c r="FM1" s="217"/>
      <c r="FN1" s="217"/>
      <c r="FO1" s="217"/>
    </row>
    <row r="2" spans="1:171" x14ac:dyDescent="0.2">
      <c r="A2" s="121" t="s">
        <v>7</v>
      </c>
      <c r="B2" s="57">
        <v>3</v>
      </c>
      <c r="E2" s="9" t="s">
        <v>8</v>
      </c>
      <c r="F2" s="10" t="s">
        <v>9</v>
      </c>
      <c r="G2" s="10" t="s">
        <v>8</v>
      </c>
      <c r="H2" s="10" t="s">
        <v>9</v>
      </c>
      <c r="I2" s="9" t="s">
        <v>8</v>
      </c>
      <c r="J2" s="10" t="s">
        <v>9</v>
      </c>
      <c r="K2" s="10" t="s">
        <v>8</v>
      </c>
      <c r="L2" s="10" t="s">
        <v>9</v>
      </c>
      <c r="M2" s="9" t="s">
        <v>8</v>
      </c>
      <c r="N2" s="10" t="s">
        <v>9</v>
      </c>
      <c r="O2" s="10" t="s">
        <v>8</v>
      </c>
      <c r="P2" s="10" t="s">
        <v>9</v>
      </c>
      <c r="Q2" s="9" t="s">
        <v>8</v>
      </c>
      <c r="R2" s="10" t="s">
        <v>9</v>
      </c>
      <c r="S2" s="10" t="s">
        <v>8</v>
      </c>
      <c r="T2" s="10" t="s">
        <v>9</v>
      </c>
      <c r="U2" s="9" t="s">
        <v>8</v>
      </c>
      <c r="V2" s="10" t="s">
        <v>9</v>
      </c>
      <c r="W2" s="10" t="s">
        <v>8</v>
      </c>
      <c r="X2" s="11" t="s">
        <v>9</v>
      </c>
      <c r="Y2" s="22"/>
      <c r="Z2" s="9" t="s">
        <v>8</v>
      </c>
      <c r="AA2" s="10" t="s">
        <v>9</v>
      </c>
      <c r="AB2" s="10" t="s">
        <v>8</v>
      </c>
      <c r="AC2" s="10" t="s">
        <v>9</v>
      </c>
      <c r="AD2" s="9" t="s">
        <v>8</v>
      </c>
      <c r="AE2" s="10" t="s">
        <v>9</v>
      </c>
      <c r="AF2" s="10" t="s">
        <v>8</v>
      </c>
      <c r="AG2" s="11" t="s">
        <v>9</v>
      </c>
      <c r="AH2" s="9" t="s">
        <v>8</v>
      </c>
      <c r="AI2" s="10" t="s">
        <v>9</v>
      </c>
      <c r="AJ2" s="10" t="s">
        <v>8</v>
      </c>
      <c r="AK2" s="10" t="s">
        <v>9</v>
      </c>
      <c r="AL2" s="9" t="s">
        <v>8</v>
      </c>
      <c r="AM2" s="10" t="s">
        <v>9</v>
      </c>
      <c r="AN2" s="10" t="s">
        <v>8</v>
      </c>
      <c r="AO2" s="11" t="s">
        <v>9</v>
      </c>
      <c r="AP2" s="9" t="s">
        <v>8</v>
      </c>
      <c r="AQ2" s="10" t="s">
        <v>9</v>
      </c>
      <c r="AR2" s="10" t="s">
        <v>8</v>
      </c>
      <c r="AS2" s="11" t="s">
        <v>9</v>
      </c>
      <c r="AT2" s="74"/>
      <c r="AU2" s="9" t="s">
        <v>8</v>
      </c>
      <c r="AV2" s="10" t="s">
        <v>9</v>
      </c>
      <c r="AW2" s="10" t="s">
        <v>8</v>
      </c>
      <c r="AX2" s="10" t="s">
        <v>9</v>
      </c>
      <c r="AY2" s="9" t="s">
        <v>8</v>
      </c>
      <c r="AZ2" s="10" t="s">
        <v>9</v>
      </c>
      <c r="BA2" s="10" t="s">
        <v>8</v>
      </c>
      <c r="BB2" s="11" t="s">
        <v>9</v>
      </c>
      <c r="BC2" s="9" t="s">
        <v>8</v>
      </c>
      <c r="BD2" s="10" t="s">
        <v>9</v>
      </c>
      <c r="BE2" s="10" t="s">
        <v>8</v>
      </c>
      <c r="BF2" s="10" t="s">
        <v>9</v>
      </c>
      <c r="BG2" s="9" t="s">
        <v>8</v>
      </c>
      <c r="BH2" s="10" t="s">
        <v>9</v>
      </c>
      <c r="BI2" s="10" t="s">
        <v>8</v>
      </c>
      <c r="BJ2" s="11" t="s">
        <v>9</v>
      </c>
      <c r="BK2" s="9" t="s">
        <v>8</v>
      </c>
      <c r="BL2" s="10" t="s">
        <v>9</v>
      </c>
      <c r="BM2" s="10" t="s">
        <v>8</v>
      </c>
      <c r="BN2" s="11" t="s">
        <v>9</v>
      </c>
      <c r="BO2" s="74"/>
      <c r="BP2" s="9" t="s">
        <v>8</v>
      </c>
      <c r="BQ2" s="10" t="s">
        <v>9</v>
      </c>
      <c r="BR2" s="10" t="s">
        <v>8</v>
      </c>
      <c r="BS2" s="10" t="s">
        <v>9</v>
      </c>
      <c r="BT2" s="9" t="s">
        <v>8</v>
      </c>
      <c r="BU2" s="10" t="s">
        <v>9</v>
      </c>
      <c r="BV2" s="10" t="s">
        <v>8</v>
      </c>
      <c r="BW2" s="11" t="s">
        <v>9</v>
      </c>
      <c r="BX2" s="9" t="s">
        <v>8</v>
      </c>
      <c r="BY2" s="10" t="s">
        <v>9</v>
      </c>
      <c r="BZ2" s="10" t="s">
        <v>8</v>
      </c>
      <c r="CA2" s="10" t="s">
        <v>9</v>
      </c>
      <c r="CB2" s="9" t="s">
        <v>8</v>
      </c>
      <c r="CC2" s="10" t="s">
        <v>9</v>
      </c>
      <c r="CD2" s="10" t="s">
        <v>8</v>
      </c>
      <c r="CE2" s="11" t="s">
        <v>9</v>
      </c>
      <c r="CF2" s="9" t="s">
        <v>8</v>
      </c>
      <c r="CG2" s="10" t="s">
        <v>9</v>
      </c>
      <c r="CH2" s="10" t="s">
        <v>8</v>
      </c>
      <c r="CI2" s="11" t="s">
        <v>9</v>
      </c>
      <c r="CJ2" s="74"/>
      <c r="CK2" s="9" t="s">
        <v>8</v>
      </c>
      <c r="CL2" s="10" t="s">
        <v>9</v>
      </c>
      <c r="CM2" s="10" t="s">
        <v>8</v>
      </c>
      <c r="CN2" s="10" t="s">
        <v>9</v>
      </c>
      <c r="CO2" s="9" t="s">
        <v>8</v>
      </c>
      <c r="CP2" s="10" t="s">
        <v>9</v>
      </c>
      <c r="CQ2" s="10" t="s">
        <v>8</v>
      </c>
      <c r="CR2" s="11" t="s">
        <v>9</v>
      </c>
      <c r="CS2" s="9" t="s">
        <v>8</v>
      </c>
      <c r="CT2" s="10" t="s">
        <v>9</v>
      </c>
      <c r="CU2" s="10" t="s">
        <v>8</v>
      </c>
      <c r="CV2" s="10" t="s">
        <v>9</v>
      </c>
      <c r="CW2" s="9" t="s">
        <v>8</v>
      </c>
      <c r="CX2" s="10" t="s">
        <v>9</v>
      </c>
      <c r="CY2" s="10" t="s">
        <v>8</v>
      </c>
      <c r="CZ2" s="11" t="s">
        <v>9</v>
      </c>
      <c r="DA2" s="9" t="s">
        <v>8</v>
      </c>
      <c r="DB2" s="10" t="s">
        <v>9</v>
      </c>
      <c r="DC2" s="10" t="s">
        <v>8</v>
      </c>
      <c r="DD2" s="11" t="s">
        <v>9</v>
      </c>
      <c r="DE2" s="22"/>
      <c r="DF2" s="9" t="s">
        <v>8</v>
      </c>
      <c r="DG2" s="10" t="s">
        <v>9</v>
      </c>
      <c r="DH2" s="10" t="s">
        <v>8</v>
      </c>
      <c r="DI2" s="10" t="s">
        <v>9</v>
      </c>
      <c r="DJ2" s="9" t="s">
        <v>8</v>
      </c>
      <c r="DK2" s="10" t="s">
        <v>9</v>
      </c>
      <c r="DL2" s="10" t="s">
        <v>8</v>
      </c>
      <c r="DM2" s="11" t="s">
        <v>9</v>
      </c>
      <c r="DN2" s="9" t="s">
        <v>8</v>
      </c>
      <c r="DO2" s="10" t="s">
        <v>9</v>
      </c>
      <c r="DP2" s="10" t="s">
        <v>8</v>
      </c>
      <c r="DQ2" s="10" t="s">
        <v>9</v>
      </c>
      <c r="DR2" s="9" t="s">
        <v>8</v>
      </c>
      <c r="DS2" s="10" t="s">
        <v>9</v>
      </c>
      <c r="DT2" s="10" t="s">
        <v>8</v>
      </c>
      <c r="DU2" s="11" t="s">
        <v>9</v>
      </c>
      <c r="DV2" s="9" t="s">
        <v>8</v>
      </c>
      <c r="DW2" s="10" t="s">
        <v>9</v>
      </c>
      <c r="DX2" s="10" t="s">
        <v>8</v>
      </c>
      <c r="DY2" s="11" t="s">
        <v>9</v>
      </c>
      <c r="DZ2" s="22"/>
      <c r="EA2" s="9" t="s">
        <v>8</v>
      </c>
      <c r="EB2" s="10" t="s">
        <v>9</v>
      </c>
      <c r="EC2" s="10" t="s">
        <v>8</v>
      </c>
      <c r="ED2" s="10" t="s">
        <v>9</v>
      </c>
      <c r="EE2" s="9" t="s">
        <v>8</v>
      </c>
      <c r="EF2" s="10" t="s">
        <v>9</v>
      </c>
      <c r="EG2" s="10" t="s">
        <v>8</v>
      </c>
      <c r="EH2" s="11" t="s">
        <v>9</v>
      </c>
      <c r="EI2" s="9" t="s">
        <v>8</v>
      </c>
      <c r="EJ2" s="10" t="s">
        <v>9</v>
      </c>
      <c r="EK2" s="10" t="s">
        <v>8</v>
      </c>
      <c r="EL2" s="10" t="s">
        <v>9</v>
      </c>
      <c r="EM2" s="9" t="s">
        <v>8</v>
      </c>
      <c r="EN2" s="10" t="s">
        <v>9</v>
      </c>
      <c r="EO2" s="10" t="s">
        <v>8</v>
      </c>
      <c r="EP2" s="11" t="s">
        <v>9</v>
      </c>
      <c r="EQ2" s="9" t="s">
        <v>8</v>
      </c>
      <c r="ER2" s="10" t="s">
        <v>9</v>
      </c>
      <c r="ES2" s="10" t="s">
        <v>8</v>
      </c>
      <c r="ET2" s="11" t="s">
        <v>9</v>
      </c>
      <c r="EU2" s="22"/>
      <c r="EV2" s="9" t="s">
        <v>8</v>
      </c>
      <c r="EW2" s="10" t="s">
        <v>9</v>
      </c>
      <c r="EX2" s="10" t="s">
        <v>8</v>
      </c>
      <c r="EY2" s="10" t="s">
        <v>9</v>
      </c>
      <c r="EZ2" s="9" t="s">
        <v>8</v>
      </c>
      <c r="FA2" s="10" t="s">
        <v>9</v>
      </c>
      <c r="FB2" s="10" t="s">
        <v>8</v>
      </c>
      <c r="FC2" s="11" t="s">
        <v>9</v>
      </c>
      <c r="FD2" s="9" t="s">
        <v>8</v>
      </c>
      <c r="FE2" s="10" t="s">
        <v>9</v>
      </c>
      <c r="FF2" s="10" t="s">
        <v>8</v>
      </c>
      <c r="FG2" s="10" t="s">
        <v>9</v>
      </c>
      <c r="FH2" s="210" t="s">
        <v>8</v>
      </c>
      <c r="FI2" s="204" t="s">
        <v>9</v>
      </c>
      <c r="FJ2" s="204" t="s">
        <v>8</v>
      </c>
      <c r="FK2" s="211" t="s">
        <v>9</v>
      </c>
      <c r="FL2" s="22"/>
      <c r="FM2" s="204"/>
      <c r="FN2" s="204"/>
      <c r="FO2" s="204"/>
    </row>
    <row r="3" spans="1:171" x14ac:dyDescent="0.2">
      <c r="A3" s="121" t="s">
        <v>10</v>
      </c>
      <c r="B3" s="57">
        <v>1</v>
      </c>
      <c r="C3" s="65"/>
      <c r="E3" s="8" t="s">
        <v>11</v>
      </c>
      <c r="F3" s="8">
        <v>1</v>
      </c>
      <c r="G3" s="8" t="s">
        <v>12</v>
      </c>
      <c r="H3" s="8">
        <v>6</v>
      </c>
      <c r="I3" s="8" t="s">
        <v>11</v>
      </c>
      <c r="J3" s="8">
        <v>2</v>
      </c>
      <c r="K3" s="8" t="s">
        <v>12</v>
      </c>
      <c r="L3" s="8">
        <v>7</v>
      </c>
      <c r="M3" s="8" t="s">
        <v>11</v>
      </c>
      <c r="N3" s="8">
        <v>0</v>
      </c>
      <c r="O3" s="8" t="s">
        <v>12</v>
      </c>
      <c r="P3" s="8">
        <v>4</v>
      </c>
      <c r="Q3" s="8" t="s">
        <v>11</v>
      </c>
      <c r="R3" s="8">
        <v>2</v>
      </c>
      <c r="S3" s="8" t="s">
        <v>12</v>
      </c>
      <c r="T3" s="8">
        <v>5</v>
      </c>
      <c r="U3" s="8" t="s">
        <v>11</v>
      </c>
      <c r="V3" s="8">
        <v>6</v>
      </c>
      <c r="W3" s="8" t="s">
        <v>12</v>
      </c>
      <c r="X3" s="8">
        <v>0</v>
      </c>
      <c r="Y3" s="22"/>
      <c r="Z3" s="8" t="s">
        <v>11</v>
      </c>
      <c r="AA3" s="8">
        <v>3</v>
      </c>
      <c r="AB3" s="8" t="s">
        <v>12</v>
      </c>
      <c r="AC3" s="8">
        <v>5</v>
      </c>
      <c r="AD3" s="8" t="s">
        <v>11</v>
      </c>
      <c r="AE3" s="8">
        <v>3</v>
      </c>
      <c r="AF3" s="8" t="s">
        <v>12</v>
      </c>
      <c r="AG3" s="8">
        <v>1</v>
      </c>
      <c r="AH3" s="8" t="s">
        <v>11</v>
      </c>
      <c r="AI3" s="8">
        <v>3</v>
      </c>
      <c r="AJ3" s="8" t="s">
        <v>12</v>
      </c>
      <c r="AK3" s="8">
        <v>3</v>
      </c>
      <c r="AL3" s="8" t="s">
        <v>11</v>
      </c>
      <c r="AM3" s="8">
        <v>5</v>
      </c>
      <c r="AN3" s="8" t="s">
        <v>12</v>
      </c>
      <c r="AO3" s="8">
        <v>1</v>
      </c>
      <c r="AP3" s="8" t="s">
        <v>11</v>
      </c>
      <c r="AQ3" s="8">
        <v>3</v>
      </c>
      <c r="AR3" s="8" t="s">
        <v>12</v>
      </c>
      <c r="AS3" s="8">
        <v>9</v>
      </c>
      <c r="AT3" s="74"/>
      <c r="AU3" s="8" t="s">
        <v>11</v>
      </c>
      <c r="AV3" s="8">
        <v>4</v>
      </c>
      <c r="AW3" s="8" t="s">
        <v>12</v>
      </c>
      <c r="AX3" s="8">
        <v>5</v>
      </c>
      <c r="AY3" s="8" t="s">
        <v>11</v>
      </c>
      <c r="AZ3" s="8">
        <v>6</v>
      </c>
      <c r="BA3" s="8" t="s">
        <v>12</v>
      </c>
      <c r="BB3" s="8">
        <v>6</v>
      </c>
      <c r="BC3" s="8" t="s">
        <v>11</v>
      </c>
      <c r="BD3" s="8">
        <v>4</v>
      </c>
      <c r="BE3" s="8" t="s">
        <v>12</v>
      </c>
      <c r="BF3" s="8">
        <v>2</v>
      </c>
      <c r="BG3" s="8" t="s">
        <v>11</v>
      </c>
      <c r="BH3" s="8">
        <v>4</v>
      </c>
      <c r="BI3" s="8" t="s">
        <v>12</v>
      </c>
      <c r="BJ3" s="8">
        <v>2</v>
      </c>
      <c r="BK3" s="8" t="s">
        <v>11</v>
      </c>
      <c r="BL3" s="8">
        <v>7</v>
      </c>
      <c r="BM3" s="8" t="s">
        <v>12</v>
      </c>
      <c r="BN3" s="8">
        <v>1</v>
      </c>
      <c r="BO3" s="74"/>
      <c r="BP3" s="8" t="s">
        <v>11</v>
      </c>
      <c r="BQ3" s="8">
        <v>3</v>
      </c>
      <c r="BR3" s="8" t="s">
        <v>12</v>
      </c>
      <c r="BS3" s="8">
        <v>4</v>
      </c>
      <c r="BT3" s="8" t="s">
        <v>11</v>
      </c>
      <c r="BU3" s="8">
        <v>7</v>
      </c>
      <c r="BV3" s="8" t="s">
        <v>12</v>
      </c>
      <c r="BW3" s="8">
        <v>4</v>
      </c>
      <c r="BX3" s="8" t="s">
        <v>11</v>
      </c>
      <c r="BY3" s="8">
        <v>4</v>
      </c>
      <c r="BZ3" s="8" t="s">
        <v>12</v>
      </c>
      <c r="CA3" s="8">
        <v>7</v>
      </c>
      <c r="CB3" s="8" t="s">
        <v>11</v>
      </c>
      <c r="CC3" s="8">
        <v>8</v>
      </c>
      <c r="CD3" s="8" t="s">
        <v>12</v>
      </c>
      <c r="CE3" s="8">
        <v>2</v>
      </c>
      <c r="CF3" s="8" t="s">
        <v>11</v>
      </c>
      <c r="CG3" s="8">
        <v>3</v>
      </c>
      <c r="CH3" s="8" t="s">
        <v>12</v>
      </c>
      <c r="CI3" s="8">
        <v>2</v>
      </c>
      <c r="CJ3" s="74"/>
      <c r="CK3" s="8" t="s">
        <v>11</v>
      </c>
      <c r="CL3" s="8">
        <v>1</v>
      </c>
      <c r="CM3" s="8" t="s">
        <v>12</v>
      </c>
      <c r="CN3" s="8">
        <v>4</v>
      </c>
      <c r="CO3" s="8" t="s">
        <v>11</v>
      </c>
      <c r="CP3" s="8">
        <v>1</v>
      </c>
      <c r="CQ3" s="8" t="s">
        <v>12</v>
      </c>
      <c r="CR3" s="8">
        <v>4</v>
      </c>
      <c r="CS3" s="8" t="s">
        <v>11</v>
      </c>
      <c r="CT3" s="8">
        <v>5</v>
      </c>
      <c r="CU3" s="8" t="s">
        <v>12</v>
      </c>
      <c r="CV3" s="8">
        <v>5</v>
      </c>
      <c r="CW3" s="8" t="s">
        <v>11</v>
      </c>
      <c r="CX3" s="8">
        <v>5</v>
      </c>
      <c r="CY3" s="8" t="s">
        <v>12</v>
      </c>
      <c r="CZ3" s="8">
        <v>2</v>
      </c>
      <c r="DA3" s="8" t="s">
        <v>11</v>
      </c>
      <c r="DB3" s="8">
        <v>6</v>
      </c>
      <c r="DC3" s="8" t="s">
        <v>12</v>
      </c>
      <c r="DD3" s="8">
        <v>2</v>
      </c>
      <c r="DE3" s="22"/>
      <c r="DF3" s="25" t="s">
        <v>11</v>
      </c>
      <c r="DG3" s="25">
        <v>3</v>
      </c>
      <c r="DH3" s="25" t="s">
        <v>12</v>
      </c>
      <c r="DI3" s="25">
        <v>5</v>
      </c>
      <c r="DJ3" s="25" t="s">
        <v>11</v>
      </c>
      <c r="DK3" s="25">
        <v>10</v>
      </c>
      <c r="DL3" s="25" t="s">
        <v>12</v>
      </c>
      <c r="DM3" s="25">
        <v>4</v>
      </c>
      <c r="DN3" s="25" t="s">
        <v>11</v>
      </c>
      <c r="DO3" s="25">
        <v>4</v>
      </c>
      <c r="DP3" s="25" t="s">
        <v>12</v>
      </c>
      <c r="DQ3" s="25">
        <v>2</v>
      </c>
      <c r="DR3" s="25" t="s">
        <v>11</v>
      </c>
      <c r="DS3" s="25">
        <v>6</v>
      </c>
      <c r="DT3" s="25" t="s">
        <v>12</v>
      </c>
      <c r="DU3" s="25">
        <v>3</v>
      </c>
      <c r="DV3" s="25" t="s">
        <v>11</v>
      </c>
      <c r="DW3" s="25">
        <v>3</v>
      </c>
      <c r="DX3" s="25" t="s">
        <v>12</v>
      </c>
      <c r="DY3" s="25">
        <v>6</v>
      </c>
      <c r="DZ3" s="22"/>
      <c r="EA3" s="25" t="s">
        <v>11</v>
      </c>
      <c r="EB3" s="25">
        <v>8</v>
      </c>
      <c r="EC3" s="25" t="s">
        <v>12</v>
      </c>
      <c r="ED3" s="25">
        <v>8</v>
      </c>
      <c r="EE3" s="25" t="s">
        <v>11</v>
      </c>
      <c r="EF3" s="25">
        <v>5</v>
      </c>
      <c r="EG3" s="25" t="s">
        <v>12</v>
      </c>
      <c r="EH3" s="25">
        <v>1</v>
      </c>
      <c r="EI3" s="25" t="s">
        <v>11</v>
      </c>
      <c r="EJ3" s="25">
        <v>2</v>
      </c>
      <c r="EK3" s="25" t="s">
        <v>12</v>
      </c>
      <c r="EL3" s="25">
        <v>1</v>
      </c>
      <c r="EM3" s="25" t="s">
        <v>11</v>
      </c>
      <c r="EN3" s="25">
        <v>1</v>
      </c>
      <c r="EO3" s="25" t="s">
        <v>12</v>
      </c>
      <c r="EP3" s="25">
        <v>6</v>
      </c>
      <c r="EQ3" s="25" t="s">
        <v>11</v>
      </c>
      <c r="ER3" s="25">
        <v>3</v>
      </c>
      <c r="ES3" s="25" t="s">
        <v>12</v>
      </c>
      <c r="ET3" s="25">
        <v>5</v>
      </c>
      <c r="EU3" s="22"/>
      <c r="EV3" s="25" t="s">
        <v>11</v>
      </c>
      <c r="EW3" s="25">
        <v>1</v>
      </c>
      <c r="EX3" s="25" t="s">
        <v>12</v>
      </c>
      <c r="EY3" s="25">
        <v>5</v>
      </c>
      <c r="EZ3" s="25" t="s">
        <v>11</v>
      </c>
      <c r="FA3" s="25">
        <v>4</v>
      </c>
      <c r="FB3" s="25" t="s">
        <v>12</v>
      </c>
      <c r="FC3" s="25">
        <v>0</v>
      </c>
      <c r="FD3" s="25" t="s">
        <v>11</v>
      </c>
      <c r="FE3" s="25">
        <v>6</v>
      </c>
      <c r="FF3" s="25" t="s">
        <v>12</v>
      </c>
      <c r="FG3" s="205">
        <v>1</v>
      </c>
      <c r="FH3" s="212" t="s">
        <v>11</v>
      </c>
      <c r="FI3" s="25">
        <v>2</v>
      </c>
      <c r="FJ3" s="25" t="s">
        <v>12</v>
      </c>
      <c r="FK3" s="213">
        <v>6</v>
      </c>
      <c r="FL3" s="22"/>
      <c r="FM3" s="182"/>
      <c r="FN3" s="182"/>
      <c r="FO3" s="182"/>
    </row>
    <row r="4" spans="1:171" x14ac:dyDescent="0.2">
      <c r="A4" s="121" t="s">
        <v>13</v>
      </c>
      <c r="B4" s="57">
        <v>0</v>
      </c>
      <c r="E4" s="8" t="s">
        <v>14</v>
      </c>
      <c r="F4" s="8">
        <v>3</v>
      </c>
      <c r="G4" s="8" t="s">
        <v>15</v>
      </c>
      <c r="H4" s="8">
        <v>1</v>
      </c>
      <c r="I4" s="8" t="s">
        <v>14</v>
      </c>
      <c r="J4" s="8">
        <v>7</v>
      </c>
      <c r="K4" s="8" t="s">
        <v>15</v>
      </c>
      <c r="L4" s="8">
        <v>1</v>
      </c>
      <c r="M4" s="8" t="s">
        <v>14</v>
      </c>
      <c r="N4" s="8">
        <v>4</v>
      </c>
      <c r="O4" s="8" t="s">
        <v>15</v>
      </c>
      <c r="P4" s="8">
        <v>2</v>
      </c>
      <c r="Q4" s="8" t="s">
        <v>14</v>
      </c>
      <c r="R4" s="8">
        <v>3</v>
      </c>
      <c r="S4" s="8" t="s">
        <v>15</v>
      </c>
      <c r="T4" s="8">
        <v>6</v>
      </c>
      <c r="U4" s="8" t="s">
        <v>14</v>
      </c>
      <c r="V4" s="8">
        <v>5</v>
      </c>
      <c r="W4" s="8" t="s">
        <v>15</v>
      </c>
      <c r="X4" s="8">
        <v>3</v>
      </c>
      <c r="Y4" s="22"/>
      <c r="Z4" s="8" t="s">
        <v>14</v>
      </c>
      <c r="AA4" s="8">
        <v>3</v>
      </c>
      <c r="AB4" s="8" t="s">
        <v>15</v>
      </c>
      <c r="AC4" s="8">
        <v>5</v>
      </c>
      <c r="AD4" s="8" t="s">
        <v>14</v>
      </c>
      <c r="AE4" s="8">
        <v>4</v>
      </c>
      <c r="AF4" s="8" t="s">
        <v>15</v>
      </c>
      <c r="AG4" s="8">
        <v>6</v>
      </c>
      <c r="AH4" s="8" t="s">
        <v>14</v>
      </c>
      <c r="AI4" s="8">
        <v>1</v>
      </c>
      <c r="AJ4" s="8" t="s">
        <v>15</v>
      </c>
      <c r="AK4" s="8">
        <v>3</v>
      </c>
      <c r="AL4" s="8" t="s">
        <v>14</v>
      </c>
      <c r="AM4" s="8">
        <v>4</v>
      </c>
      <c r="AN4" s="8" t="s">
        <v>15</v>
      </c>
      <c r="AO4" s="8">
        <v>4</v>
      </c>
      <c r="AP4" s="8" t="s">
        <v>14</v>
      </c>
      <c r="AQ4" s="8">
        <v>5</v>
      </c>
      <c r="AR4" s="8" t="s">
        <v>15</v>
      </c>
      <c r="AS4" s="8">
        <v>3</v>
      </c>
      <c r="AT4" s="74"/>
      <c r="AU4" s="8" t="s">
        <v>14</v>
      </c>
      <c r="AV4" s="8">
        <v>5</v>
      </c>
      <c r="AW4" s="8" t="s">
        <v>15</v>
      </c>
      <c r="AX4" s="8">
        <v>1</v>
      </c>
      <c r="AY4" s="8" t="s">
        <v>14</v>
      </c>
      <c r="AZ4" s="8">
        <v>8</v>
      </c>
      <c r="BA4" s="8" t="s">
        <v>15</v>
      </c>
      <c r="BB4" s="8">
        <v>0</v>
      </c>
      <c r="BC4" s="8" t="s">
        <v>14</v>
      </c>
      <c r="BD4" s="8">
        <v>2</v>
      </c>
      <c r="BE4" s="8" t="s">
        <v>15</v>
      </c>
      <c r="BF4" s="8">
        <v>2</v>
      </c>
      <c r="BG4" s="8" t="s">
        <v>14</v>
      </c>
      <c r="BH4" s="8">
        <v>6</v>
      </c>
      <c r="BI4" s="8" t="s">
        <v>15</v>
      </c>
      <c r="BJ4" s="8">
        <v>3</v>
      </c>
      <c r="BK4" s="8" t="s">
        <v>14</v>
      </c>
      <c r="BL4" s="8">
        <v>5</v>
      </c>
      <c r="BM4" s="8" t="s">
        <v>15</v>
      </c>
      <c r="BN4" s="8">
        <v>6</v>
      </c>
      <c r="BO4" s="74"/>
      <c r="BP4" s="8" t="s">
        <v>14</v>
      </c>
      <c r="BQ4" s="8">
        <v>5</v>
      </c>
      <c r="BR4" s="8" t="s">
        <v>15</v>
      </c>
      <c r="BS4" s="8">
        <v>1</v>
      </c>
      <c r="BT4" s="8" t="s">
        <v>14</v>
      </c>
      <c r="BU4" s="8">
        <v>5</v>
      </c>
      <c r="BV4" s="8" t="s">
        <v>15</v>
      </c>
      <c r="BW4" s="8">
        <v>1</v>
      </c>
      <c r="BX4" s="8" t="s">
        <v>14</v>
      </c>
      <c r="BY4" s="8">
        <v>5</v>
      </c>
      <c r="BZ4" s="8" t="s">
        <v>15</v>
      </c>
      <c r="CA4" s="8">
        <v>7</v>
      </c>
      <c r="CB4" s="8" t="s">
        <v>14</v>
      </c>
      <c r="CC4" s="8">
        <v>0</v>
      </c>
      <c r="CD4" s="8" t="s">
        <v>15</v>
      </c>
      <c r="CE4" s="8">
        <v>7</v>
      </c>
      <c r="CF4" s="8" t="s">
        <v>14</v>
      </c>
      <c r="CG4" s="8">
        <v>0</v>
      </c>
      <c r="CH4" s="8" t="s">
        <v>15</v>
      </c>
      <c r="CI4" s="8">
        <v>1</v>
      </c>
      <c r="CJ4" s="74"/>
      <c r="CK4" s="8" t="s">
        <v>14</v>
      </c>
      <c r="CL4" s="8">
        <v>2</v>
      </c>
      <c r="CM4" s="8" t="s">
        <v>15</v>
      </c>
      <c r="CN4" s="8">
        <v>4</v>
      </c>
      <c r="CO4" s="8" t="s">
        <v>14</v>
      </c>
      <c r="CP4" s="8">
        <v>1</v>
      </c>
      <c r="CQ4" s="8" t="s">
        <v>15</v>
      </c>
      <c r="CR4" s="8">
        <v>2</v>
      </c>
      <c r="CS4" s="8" t="s">
        <v>14</v>
      </c>
      <c r="CT4" s="8">
        <v>2</v>
      </c>
      <c r="CU4" s="8" t="s">
        <v>15</v>
      </c>
      <c r="CV4" s="8">
        <v>4</v>
      </c>
      <c r="CW4" s="8" t="s">
        <v>14</v>
      </c>
      <c r="CX4" s="8">
        <v>9</v>
      </c>
      <c r="CY4" s="8" t="s">
        <v>15</v>
      </c>
      <c r="CZ4" s="8">
        <v>2</v>
      </c>
      <c r="DA4" s="8" t="s">
        <v>14</v>
      </c>
      <c r="DB4" s="8">
        <v>6</v>
      </c>
      <c r="DC4" s="8" t="s">
        <v>15</v>
      </c>
      <c r="DD4" s="8">
        <v>6</v>
      </c>
      <c r="DE4" s="22"/>
      <c r="DF4" s="25" t="s">
        <v>14</v>
      </c>
      <c r="DG4" s="25">
        <v>4</v>
      </c>
      <c r="DH4" s="25" t="s">
        <v>15</v>
      </c>
      <c r="DI4" s="25">
        <v>5</v>
      </c>
      <c r="DJ4" s="25" t="s">
        <v>14</v>
      </c>
      <c r="DK4" s="25">
        <v>3</v>
      </c>
      <c r="DL4" s="25" t="s">
        <v>15</v>
      </c>
      <c r="DM4" s="25">
        <v>4</v>
      </c>
      <c r="DN4" s="25" t="s">
        <v>14</v>
      </c>
      <c r="DO4" s="25">
        <v>5</v>
      </c>
      <c r="DP4" s="25" t="s">
        <v>15</v>
      </c>
      <c r="DQ4" s="25">
        <v>3</v>
      </c>
      <c r="DR4" s="25" t="s">
        <v>14</v>
      </c>
      <c r="DS4" s="25">
        <v>2</v>
      </c>
      <c r="DT4" s="25" t="s">
        <v>15</v>
      </c>
      <c r="DU4" s="25">
        <v>4</v>
      </c>
      <c r="DV4" s="25" t="s">
        <v>14</v>
      </c>
      <c r="DW4" s="25">
        <v>7</v>
      </c>
      <c r="DX4" s="25" t="s">
        <v>15</v>
      </c>
      <c r="DY4" s="25">
        <v>4</v>
      </c>
      <c r="DZ4" s="22"/>
      <c r="EA4" s="25" t="s">
        <v>14</v>
      </c>
      <c r="EB4" s="25">
        <v>4</v>
      </c>
      <c r="EC4" s="25" t="s">
        <v>15</v>
      </c>
      <c r="ED4" s="25">
        <v>4</v>
      </c>
      <c r="EE4" s="25" t="s">
        <v>14</v>
      </c>
      <c r="EF4" s="25">
        <v>2</v>
      </c>
      <c r="EG4" s="25" t="s">
        <v>15</v>
      </c>
      <c r="EH4" s="25">
        <v>5</v>
      </c>
      <c r="EI4" s="25" t="s">
        <v>14</v>
      </c>
      <c r="EJ4" s="25">
        <v>2</v>
      </c>
      <c r="EK4" s="25" t="s">
        <v>15</v>
      </c>
      <c r="EL4" s="25">
        <v>5</v>
      </c>
      <c r="EM4" s="25" t="s">
        <v>14</v>
      </c>
      <c r="EN4" s="25">
        <v>2</v>
      </c>
      <c r="EO4" s="25" t="s">
        <v>15</v>
      </c>
      <c r="EP4" s="25">
        <v>2</v>
      </c>
      <c r="EQ4" s="25" t="s">
        <v>14</v>
      </c>
      <c r="ER4" s="25">
        <v>1</v>
      </c>
      <c r="ES4" s="25" t="s">
        <v>15</v>
      </c>
      <c r="ET4" s="25">
        <v>6</v>
      </c>
      <c r="EU4" s="22"/>
      <c r="EV4" s="25" t="s">
        <v>14</v>
      </c>
      <c r="EW4" s="25">
        <v>4</v>
      </c>
      <c r="EX4" s="25" t="s">
        <v>15</v>
      </c>
      <c r="EY4" s="25">
        <v>4</v>
      </c>
      <c r="EZ4" s="25" t="s">
        <v>14</v>
      </c>
      <c r="FA4" s="25">
        <v>2</v>
      </c>
      <c r="FB4" s="25" t="s">
        <v>15</v>
      </c>
      <c r="FC4" s="25">
        <v>5</v>
      </c>
      <c r="FD4" s="25" t="s">
        <v>14</v>
      </c>
      <c r="FE4" s="25">
        <v>2</v>
      </c>
      <c r="FF4" s="25" t="s">
        <v>15</v>
      </c>
      <c r="FG4" s="205">
        <v>5</v>
      </c>
      <c r="FH4" s="214" t="s">
        <v>14</v>
      </c>
      <c r="FI4" s="215">
        <v>2</v>
      </c>
      <c r="FJ4" s="215" t="s">
        <v>15</v>
      </c>
      <c r="FK4" s="216">
        <v>2</v>
      </c>
      <c r="FL4" s="22"/>
      <c r="FM4" s="182"/>
      <c r="FN4" s="182"/>
      <c r="FO4" s="182"/>
    </row>
    <row r="5" spans="1:171" x14ac:dyDescent="0.2">
      <c r="A5" s="122" t="s">
        <v>16</v>
      </c>
      <c r="B5" s="58" t="s">
        <v>17</v>
      </c>
      <c r="E5" s="3"/>
      <c r="I5" s="3"/>
      <c r="M5" s="3"/>
      <c r="Q5" s="3"/>
      <c r="U5" s="3"/>
      <c r="X5" s="4"/>
      <c r="Y5" s="22"/>
      <c r="AT5" s="74"/>
      <c r="BO5" s="74"/>
      <c r="CJ5" s="74"/>
      <c r="DE5" s="22"/>
      <c r="DZ5" s="22"/>
      <c r="EU5" s="22"/>
      <c r="FL5" s="22"/>
    </row>
    <row r="6" spans="1:171" x14ac:dyDescent="0.2">
      <c r="E6" s="3"/>
      <c r="I6" s="3"/>
      <c r="M6" s="3"/>
      <c r="Q6" s="3"/>
      <c r="U6" s="3"/>
      <c r="Y6" s="157" t="s">
        <v>18</v>
      </c>
      <c r="AT6" s="158" t="s">
        <v>19</v>
      </c>
      <c r="BO6" s="158" t="s">
        <v>20</v>
      </c>
      <c r="CJ6" s="158" t="s">
        <v>21</v>
      </c>
      <c r="DE6" s="158" t="s">
        <v>22</v>
      </c>
      <c r="DZ6" s="158" t="s">
        <v>88</v>
      </c>
      <c r="EU6" s="158" t="s">
        <v>89</v>
      </c>
      <c r="FL6" s="158" t="s">
        <v>90</v>
      </c>
    </row>
    <row r="7" spans="1:171" x14ac:dyDescent="0.2">
      <c r="A7" s="63" t="s">
        <v>23</v>
      </c>
      <c r="B7" s="64" t="s">
        <v>24</v>
      </c>
      <c r="C7" s="6" t="s">
        <v>25</v>
      </c>
      <c r="D7" s="6" t="s">
        <v>26</v>
      </c>
      <c r="E7" s="6" t="s">
        <v>8</v>
      </c>
      <c r="F7" s="6" t="s">
        <v>27</v>
      </c>
      <c r="G7" s="6" t="s">
        <v>16</v>
      </c>
      <c r="H7" s="6" t="s">
        <v>28</v>
      </c>
      <c r="I7" s="12" t="s">
        <v>8</v>
      </c>
      <c r="J7" s="6" t="s">
        <v>27</v>
      </c>
      <c r="K7" s="118" t="s">
        <v>16</v>
      </c>
      <c r="L7" s="6" t="s">
        <v>28</v>
      </c>
      <c r="M7" s="12" t="s">
        <v>8</v>
      </c>
      <c r="N7" s="6" t="s">
        <v>27</v>
      </c>
      <c r="O7" s="6" t="s">
        <v>16</v>
      </c>
      <c r="P7" s="6" t="s">
        <v>28</v>
      </c>
      <c r="Q7" s="12" t="s">
        <v>8</v>
      </c>
      <c r="R7" s="6" t="s">
        <v>27</v>
      </c>
      <c r="S7" s="6" t="s">
        <v>16</v>
      </c>
      <c r="T7" s="6" t="s">
        <v>28</v>
      </c>
      <c r="U7" s="12" t="s">
        <v>8</v>
      </c>
      <c r="V7" s="6" t="s">
        <v>27</v>
      </c>
      <c r="W7" s="6" t="s">
        <v>16</v>
      </c>
      <c r="X7" s="6" t="s">
        <v>28</v>
      </c>
      <c r="Y7" s="154" t="s">
        <v>29</v>
      </c>
      <c r="Z7" s="35" t="s">
        <v>8</v>
      </c>
      <c r="AA7" s="36" t="s">
        <v>27</v>
      </c>
      <c r="AB7" s="36" t="s">
        <v>16</v>
      </c>
      <c r="AC7" s="38" t="s">
        <v>28</v>
      </c>
      <c r="AD7" s="35" t="s">
        <v>8</v>
      </c>
      <c r="AE7" s="36" t="s">
        <v>27</v>
      </c>
      <c r="AF7" s="36" t="s">
        <v>16</v>
      </c>
      <c r="AG7" s="38" t="s">
        <v>28</v>
      </c>
      <c r="AH7" s="35" t="s">
        <v>8</v>
      </c>
      <c r="AI7" s="36" t="s">
        <v>27</v>
      </c>
      <c r="AJ7" s="36" t="s">
        <v>16</v>
      </c>
      <c r="AK7" s="38" t="s">
        <v>28</v>
      </c>
      <c r="AL7" s="35" t="s">
        <v>8</v>
      </c>
      <c r="AM7" s="36" t="s">
        <v>27</v>
      </c>
      <c r="AN7" s="36" t="s">
        <v>16</v>
      </c>
      <c r="AO7" s="37" t="s">
        <v>28</v>
      </c>
      <c r="AP7" s="36" t="s">
        <v>8</v>
      </c>
      <c r="AQ7" s="36" t="s">
        <v>27</v>
      </c>
      <c r="AR7" s="36" t="s">
        <v>16</v>
      </c>
      <c r="AS7" s="38" t="s">
        <v>28</v>
      </c>
      <c r="AT7" s="155" t="s">
        <v>29</v>
      </c>
      <c r="AU7" s="93" t="s">
        <v>8</v>
      </c>
      <c r="AV7" s="93" t="s">
        <v>27</v>
      </c>
      <c r="AW7" s="93" t="s">
        <v>16</v>
      </c>
      <c r="AX7" s="101" t="s">
        <v>28</v>
      </c>
      <c r="AY7" s="93" t="s">
        <v>8</v>
      </c>
      <c r="AZ7" s="93" t="s">
        <v>27</v>
      </c>
      <c r="BA7" s="93" t="s">
        <v>16</v>
      </c>
      <c r="BB7" s="93" t="s">
        <v>28</v>
      </c>
      <c r="BC7" s="97" t="s">
        <v>8</v>
      </c>
      <c r="BD7" s="93" t="s">
        <v>27</v>
      </c>
      <c r="BE7" s="93" t="s">
        <v>16</v>
      </c>
      <c r="BF7" s="101" t="s">
        <v>28</v>
      </c>
      <c r="BG7" s="93" t="s">
        <v>8</v>
      </c>
      <c r="BH7" s="93" t="s">
        <v>27</v>
      </c>
      <c r="BI7" s="93" t="s">
        <v>16</v>
      </c>
      <c r="BJ7" s="93" t="s">
        <v>28</v>
      </c>
      <c r="BK7" s="93" t="s">
        <v>8</v>
      </c>
      <c r="BL7" s="93" t="s">
        <v>27</v>
      </c>
      <c r="BM7" s="93" t="s">
        <v>16</v>
      </c>
      <c r="BN7" s="110" t="s">
        <v>28</v>
      </c>
      <c r="BO7" s="155" t="s">
        <v>29</v>
      </c>
      <c r="BP7" s="148" t="s">
        <v>8</v>
      </c>
      <c r="BQ7" s="148" t="s">
        <v>27</v>
      </c>
      <c r="BR7" s="148" t="s">
        <v>16</v>
      </c>
      <c r="BS7" s="148" t="s">
        <v>28</v>
      </c>
      <c r="BT7" s="148" t="s">
        <v>8</v>
      </c>
      <c r="BU7" s="148" t="s">
        <v>27</v>
      </c>
      <c r="BV7" s="148" t="s">
        <v>16</v>
      </c>
      <c r="BW7" s="148" t="s">
        <v>28</v>
      </c>
      <c r="BX7" s="148" t="s">
        <v>8</v>
      </c>
      <c r="BY7" s="148" t="s">
        <v>27</v>
      </c>
      <c r="BZ7" s="148" t="s">
        <v>16</v>
      </c>
      <c r="CA7" s="148" t="s">
        <v>28</v>
      </c>
      <c r="CB7" s="148" t="s">
        <v>8</v>
      </c>
      <c r="CC7" s="148" t="s">
        <v>27</v>
      </c>
      <c r="CD7" s="148" t="s">
        <v>16</v>
      </c>
      <c r="CE7" s="148" t="s">
        <v>28</v>
      </c>
      <c r="CF7" s="148" t="s">
        <v>8</v>
      </c>
      <c r="CG7" s="148" t="s">
        <v>27</v>
      </c>
      <c r="CH7" s="148" t="s">
        <v>16</v>
      </c>
      <c r="CI7" s="148" t="s">
        <v>28</v>
      </c>
      <c r="CJ7" s="156" t="s">
        <v>29</v>
      </c>
      <c r="CK7" s="93" t="s">
        <v>8</v>
      </c>
      <c r="CL7" s="93" t="s">
        <v>27</v>
      </c>
      <c r="CM7" s="93" t="s">
        <v>16</v>
      </c>
      <c r="CN7" s="93" t="s">
        <v>28</v>
      </c>
      <c r="CO7" s="93" t="s">
        <v>8</v>
      </c>
      <c r="CP7" s="93" t="s">
        <v>27</v>
      </c>
      <c r="CQ7" s="93" t="s">
        <v>16</v>
      </c>
      <c r="CR7" s="93" t="s">
        <v>28</v>
      </c>
      <c r="CS7" s="93" t="s">
        <v>8</v>
      </c>
      <c r="CT7" s="93" t="s">
        <v>27</v>
      </c>
      <c r="CU7" s="93" t="s">
        <v>16</v>
      </c>
      <c r="CV7" s="93" t="s">
        <v>28</v>
      </c>
      <c r="CW7" s="93" t="s">
        <v>8</v>
      </c>
      <c r="CX7" s="93" t="s">
        <v>27</v>
      </c>
      <c r="CY7" s="93" t="s">
        <v>16</v>
      </c>
      <c r="CZ7" s="93" t="s">
        <v>28</v>
      </c>
      <c r="DA7" s="93" t="s">
        <v>8</v>
      </c>
      <c r="DB7" s="93" t="s">
        <v>27</v>
      </c>
      <c r="DC7" s="93" t="s">
        <v>16</v>
      </c>
      <c r="DD7" s="93" t="s">
        <v>28</v>
      </c>
      <c r="DE7" s="156" t="s">
        <v>29</v>
      </c>
      <c r="DF7" s="93" t="s">
        <v>8</v>
      </c>
      <c r="DG7" s="93" t="s">
        <v>27</v>
      </c>
      <c r="DH7" s="93" t="s">
        <v>16</v>
      </c>
      <c r="DI7" s="93" t="s">
        <v>28</v>
      </c>
      <c r="DJ7" s="93" t="s">
        <v>8</v>
      </c>
      <c r="DK7" s="93" t="s">
        <v>27</v>
      </c>
      <c r="DL7" s="93" t="s">
        <v>16</v>
      </c>
      <c r="DM7" s="93" t="s">
        <v>28</v>
      </c>
      <c r="DN7" s="93" t="s">
        <v>8</v>
      </c>
      <c r="DO7" s="93" t="s">
        <v>27</v>
      </c>
      <c r="DP7" s="93" t="s">
        <v>16</v>
      </c>
      <c r="DQ7" s="93" t="s">
        <v>28</v>
      </c>
      <c r="DR7" s="93" t="s">
        <v>8</v>
      </c>
      <c r="DS7" s="93" t="s">
        <v>27</v>
      </c>
      <c r="DT7" s="93" t="s">
        <v>16</v>
      </c>
      <c r="DU7" s="93" t="s">
        <v>28</v>
      </c>
      <c r="DV7" s="93" t="s">
        <v>8</v>
      </c>
      <c r="DW7" s="93" t="s">
        <v>27</v>
      </c>
      <c r="DX7" s="93" t="s">
        <v>16</v>
      </c>
      <c r="DY7" s="93" t="s">
        <v>28</v>
      </c>
      <c r="DZ7" s="156" t="s">
        <v>29</v>
      </c>
      <c r="EA7" s="183" t="s">
        <v>8</v>
      </c>
      <c r="EB7" s="183" t="s">
        <v>27</v>
      </c>
      <c r="EC7" s="183" t="s">
        <v>16</v>
      </c>
      <c r="ED7" s="183" t="s">
        <v>28</v>
      </c>
      <c r="EE7" s="183" t="s">
        <v>8</v>
      </c>
      <c r="EF7" s="183" t="s">
        <v>27</v>
      </c>
      <c r="EG7" s="183" t="s">
        <v>16</v>
      </c>
      <c r="EH7" s="183" t="s">
        <v>28</v>
      </c>
      <c r="EI7" s="183" t="s">
        <v>8</v>
      </c>
      <c r="EJ7" s="183" t="s">
        <v>27</v>
      </c>
      <c r="EK7" s="183" t="s">
        <v>16</v>
      </c>
      <c r="EL7" s="183" t="s">
        <v>28</v>
      </c>
      <c r="EM7" s="183" t="s">
        <v>8</v>
      </c>
      <c r="EN7" s="183" t="s">
        <v>27</v>
      </c>
      <c r="EO7" s="183" t="s">
        <v>16</v>
      </c>
      <c r="EP7" s="183" t="s">
        <v>28</v>
      </c>
      <c r="EQ7" s="183" t="s">
        <v>8</v>
      </c>
      <c r="ER7" s="183" t="s">
        <v>27</v>
      </c>
      <c r="ES7" s="183" t="s">
        <v>16</v>
      </c>
      <c r="ET7" s="183" t="s">
        <v>28</v>
      </c>
      <c r="EU7" s="156" t="s">
        <v>29</v>
      </c>
      <c r="EV7" s="93" t="s">
        <v>8</v>
      </c>
      <c r="EW7" s="93" t="s">
        <v>27</v>
      </c>
      <c r="EX7" s="93" t="s">
        <v>16</v>
      </c>
      <c r="EY7" s="93" t="s">
        <v>28</v>
      </c>
      <c r="EZ7" s="93" t="s">
        <v>8</v>
      </c>
      <c r="FA7" s="93" t="s">
        <v>27</v>
      </c>
      <c r="FB7" s="93" t="s">
        <v>16</v>
      </c>
      <c r="FC7" s="93" t="s">
        <v>28</v>
      </c>
      <c r="FD7" s="93" t="s">
        <v>8</v>
      </c>
      <c r="FE7" s="93" t="s">
        <v>27</v>
      </c>
      <c r="FF7" s="93" t="s">
        <v>16</v>
      </c>
      <c r="FG7" s="93" t="s">
        <v>28</v>
      </c>
      <c r="FH7" s="93" t="s">
        <v>8</v>
      </c>
      <c r="FI7" s="93" t="s">
        <v>27</v>
      </c>
      <c r="FJ7" s="93" t="s">
        <v>16</v>
      </c>
      <c r="FK7" s="93" t="s">
        <v>28</v>
      </c>
      <c r="FL7" s="156" t="s">
        <v>29</v>
      </c>
    </row>
    <row r="8" spans="1:171" x14ac:dyDescent="0.2">
      <c r="A8" s="59" t="s">
        <v>30</v>
      </c>
      <c r="B8" s="60" t="s">
        <v>31</v>
      </c>
      <c r="C8" s="65">
        <f ca="1">AVERAGEIF($7:$7,"Goals",8:8)</f>
        <v>0.2424242424242424</v>
      </c>
      <c r="D8" s="65">
        <f ca="1">VALUE(AVERAGEIF($E$7:$ZZ$7,"Team Pts",$E8:$ZZ8))</f>
        <v>1.5151515151515151</v>
      </c>
      <c r="E8" s="15" t="s">
        <v>11</v>
      </c>
      <c r="F8" s="16">
        <f t="shared" ref="F8:F36" si="0">IF(OR(H$3="", H$4=""),"", IF(E8=E$3, IF(F$3=H$3, B$3, IF(F$3&gt;H$3, B$2, B$4)),
 IF(E8=G$3, IF(H$3=F$3, B$3, IF(H$3&gt;F$3, B$2, B$4)),
 IF(E8=E$4, IF(F$4=H$4, B$3, IF(F$4&gt;H$4, B$2, B$4)),
 IF(E8=G$4, IF(H$4=F$4, B$3, IF(H$4&gt;F$4, B$2, B$4)), "")))))</f>
        <v>0</v>
      </c>
      <c r="G8" s="1">
        <v>1</v>
      </c>
      <c r="H8" s="1">
        <f>SUM(F8,G8)</f>
        <v>1</v>
      </c>
      <c r="I8" s="15" t="s">
        <v>11</v>
      </c>
      <c r="J8" s="16">
        <f t="shared" ref="J8:J36" si="1">IF(OR(L$3="", L$4=""),"", IF(I8=I$3, IF(J$3=L$3, B$3, IF(J$3&gt;L$3, B$2, B$4)),
 IF(I8=K$3, IF(L$3=J$3, B$3, IF(L$3&gt;J$3, B$2, B$4)),
 IF(I8=I$4, IF(J$4=L$4, B$3, IF(J$4&gt;L$4, B$2, B$4)),
 IF(I8=K$4, IF(L$4=J$4, B$3, IF(L$4&gt;J$4, B$2, B$4)), "")))))</f>
        <v>0</v>
      </c>
      <c r="K8" s="78">
        <v>0</v>
      </c>
      <c r="L8" s="1">
        <f>SUM(J8,K8)</f>
        <v>0</v>
      </c>
      <c r="M8" s="15" t="s">
        <v>11</v>
      </c>
      <c r="N8" s="16">
        <f t="shared" ref="N8:N36" si="2">IF(OR(P$3="", P$4=""),"", IF(M8=M$3, IF(N$3=P$3, B$3, IF(N$3&gt;P$3, B$2, B$4)),
 IF(M8=O$3, IF(P$3=N$3, B$3, IF(P$3&gt;N$3, B$2, B$4)),
 IF(M8=M$4, IF(N$4=P$4, B$3, IF(N$4&gt;P$4, B$2, B$4)),
 IF(M8=O$4, IF(P$4=N$4, B$3, IF(P$4&gt;N$4, B$2, B$4)), "")))))</f>
        <v>0</v>
      </c>
      <c r="O8" s="1">
        <v>0</v>
      </c>
      <c r="P8" s="1">
        <f>SUM(N8,O8)</f>
        <v>0</v>
      </c>
      <c r="Q8" s="15" t="s">
        <v>15</v>
      </c>
      <c r="R8" s="16">
        <f t="shared" ref="R8:R36" si="3">IF(OR(T$3="", T$4=""),"", IF(Q8=Q$3, IF(R$3=T$3, B$3, IF(R$3&gt;T$3, B$2, B$4)),
 IF(Q8=S$3, IF(T$3=R$3, B$3, IF(T$3&gt;R$3, B$2, B$4)),
 IF(Q8=Q$4, IF(R$4=T$4, B$3, IF(R$4&gt;T$4, B$2, B$4)),
 IF(Q8=S$4, IF(T$4=R$4, B$3, IF(T$4&gt;R$4, B$2, B$4)), "")))))</f>
        <v>3</v>
      </c>
      <c r="S8" s="1">
        <v>0</v>
      </c>
      <c r="T8" s="1">
        <f>SUM(R8,S8)</f>
        <v>3</v>
      </c>
      <c r="U8" s="15" t="s">
        <v>12</v>
      </c>
      <c r="V8" s="16">
        <f>IF(OR(X$3="", X$4=""),"", IF(U8=U$3, IF(V$3=X$3, B$3, IF(V$3&gt;X$3, B$2, B$4)),
 IF(U8=W$3, IF(X$3=V$3, B$3, IF(X$3&gt;V$3, B$2, B$4)),
 IF(U8=U$4, IF(V$4=X$4, B$3, IF(V$4&gt;X$4, B$2, B$4)),
 IF(U8=W$4, IF(X$4=V$4, B$3, IF(X$4&gt;V$4, B$2, B$4)), "")))))</f>
        <v>0</v>
      </c>
      <c r="W8" s="1">
        <v>0</v>
      </c>
      <c r="X8" s="1">
        <f>SUM(V8,W8)</f>
        <v>0</v>
      </c>
      <c r="Y8" s="94">
        <f>SUM(H8,L8,P8,T8,X8)</f>
        <v>4</v>
      </c>
      <c r="Z8" s="32" t="s">
        <v>12</v>
      </c>
      <c r="AA8" s="92">
        <f>IF(Z8="Out", VALUE($D8), IF(OR(AC$3="", AC$4=""),"", IF(Z8=Z$3, IF(AA$3=AC$3, $B$3, IF(AA$3&gt;AC$3, $B$2, $B$4)),
 IF(Z8=AB$3, IF(AC$3=AA$3, $B$3, IF(AC$3&gt;AA$3, $B$2, $B$4)),
 IF(Z8=Z$4, IF(AA$4=AC$4, $B$3, IF(AA$4&gt;AC$4, $B$2, $B$4)),
 IF(Z8=AB$4, IF(AC$4=AA$4, $B$3, IF(AC$4&gt;AA$4, $B$2, $B$4)), ""))))))</f>
        <v>3</v>
      </c>
      <c r="AB8" s="82">
        <v>0</v>
      </c>
      <c r="AC8" s="83">
        <f>SUM(AA8,AB8)</f>
        <v>3</v>
      </c>
      <c r="AD8" s="32" t="s">
        <v>15</v>
      </c>
      <c r="AE8" s="33">
        <f>IF(AD8="Out", VALUE($D8), IF(OR(AG$3="", AG$4=""),"", IF(AD8=AD$3, IF(AE$3=AG$3, $B$3, IF(AE$3&gt;AG$3, $B$2, $B$4)),
 IF(AD8=AF$3, IF(AG$3=AE$3, $B$3, IF(AG$3&gt;AE$3, $B$2, $B$4)),
 IF(AD8=AD$4, IF(AE$4=AG$4, $B$3, IF(AE$4&gt;AG$4, $B$2, $B$4)),
 IF(AD8=AF$4, IF(AG$4=AE$4, $B$3, IF(AG$4&gt;AE$4, $B$2, $B$4)), ""))))))</f>
        <v>3</v>
      </c>
      <c r="AF8" s="34">
        <v>0</v>
      </c>
      <c r="AG8" s="13">
        <f>SUM(AE8,AF8)</f>
        <v>3</v>
      </c>
      <c r="AH8" s="32" t="s">
        <v>11</v>
      </c>
      <c r="AI8" s="33">
        <f>IF(OR(AK$3="", AK$4=""),"", IF(AH8=AH$3, IF(AI$3=AK$3, $B$3, IF(AI$3&gt;AK$3, $B$2, $B$4)),
 IF(AH8=AJ$3, IF(AK$3=AI$3, $B$3, IF(AK$3&gt;AI$3, $B$2, $B$4)),
 IF(AH8=AH$4, IF(AI$4=AK$4, $B$3, IF(AI$4&gt;AK$4, $B$2, $B$4)),
 IF(AH8=AJ$4, IF(AK$4=AI$4, $B$3, IF(AK$4&gt;AI$4, $B$2, $B$4)), "")))))</f>
        <v>1</v>
      </c>
      <c r="AJ8" s="34">
        <v>0</v>
      </c>
      <c r="AK8" s="14">
        <f>SUM(AI8,AJ8)</f>
        <v>1</v>
      </c>
      <c r="AL8" s="34" t="s">
        <v>14</v>
      </c>
      <c r="AM8" s="33">
        <f>IF(OR(AO$3="", AO$4=""),"", IF(AL8=AL$3, IF(AM$3=AO$3, $B$3, IF(AM$3&gt;AO$3, $B$2, $B$4)),
 IF(AL8=AN$3, IF(AO$3=AM$3, $B$3, IF(AO$3&gt;AM$3, $B$2, $B$4)),
 IF(AL8=AL$4, IF(AM$4=AO$4, $B$3, IF(AM$4&gt;AO$4, $B$2, $B$4)),
 IF(AL8=AN$4, IF(AO$4=AM$4, $B$3, IF(AO$4&gt;AM$4, $B$2, $B$4)), "")))))</f>
        <v>1</v>
      </c>
      <c r="AN8" s="34">
        <v>0</v>
      </c>
      <c r="AO8" s="13">
        <f>SUM(AM8,AN8)</f>
        <v>1</v>
      </c>
      <c r="AP8" s="44" t="s">
        <v>32</v>
      </c>
      <c r="AQ8" s="40">
        <f ca="1">IF(AP8="Out", VALUE($D8), IF(OR(AS$3="", AS$4=""),"", IF(AP8=AP$3, IF(AQ$3=AS$3, $B$3, IF(AQ$3&gt;AS$3, $B$2, $B$4)),
 IF(AP8=AR$3, IF(AS$3=AQ$3, $B$3, IF(AS$3&gt;AQ$3, $B$2, $B$4)),
 IF(AP8=AP$4, IF(AQ$4=AS$4, $B$3, IF(AQ$4&gt;AS$4, $B$2, $B$4)),
 IF(AP8=AR$4, IF(AS$4=AQ$4, $B$3, IF(AS$4&gt;AQ$4, $B$2, $B$4)), ""))))))</f>
        <v>1.5151515151515151</v>
      </c>
      <c r="AR8" s="41">
        <f ca="1">IF(AP8="Out", $C8)</f>
        <v>0.2424242424242424</v>
      </c>
      <c r="AS8" s="45">
        <f ca="1">SUM(AQ8,AR8)</f>
        <v>1.7575757575757576</v>
      </c>
      <c r="AT8" s="94">
        <f ca="1">SUM(AC8,AG8,AK8,AO8,AS8)</f>
        <v>9.7575757575757578</v>
      </c>
      <c r="AU8" s="98" t="s">
        <v>15</v>
      </c>
      <c r="AV8" s="81">
        <f>IF(AU8="Out", VALUE($D8), IF(OR(AX$3="", AX$4=""),"", IF(AU8=AU$3, IF(AV$3=AX$3, $B$3, IF(AV$3&gt;AX$3, $B$2, $B$4)),
 IF(AU8=AW$3, IF(AX$3=AV$3, $B$3, IF(AX$3&gt;AV$3, $B$2, $B$4)),
 IF(AU8=AU$4, IF(AV$4=AX$4, $B$3, IF(AV$4&gt;AX$4, $B$2, $B$4)),
 IF(AU8=AW$4, IF(AX$4=AV$4, $B$3, IF(AX$4&gt;AV$4, $B$2, $B$4)), ""))))))</f>
        <v>0</v>
      </c>
      <c r="AW8" s="1">
        <v>1</v>
      </c>
      <c r="AX8" s="111">
        <f>SUM(AV8,AW8)</f>
        <v>1</v>
      </c>
      <c r="AY8" s="1" t="s">
        <v>11</v>
      </c>
      <c r="AZ8" s="81">
        <f>IF(AY8="Out", VALUE($D8), IF(OR(BB$3="", BB$4=""),"", IF(AY8=AY$3, IF(AZ$3=BB$3, $B$3, IF(AZ$3&gt;BB$3, $B$2, $B$4)),
 IF(AY8=BA$3, IF(BB$3=AZ$3, $B$3, IF(BB$3&gt;AZ$3, $B$2, $B$4)),
 IF(AY8=AY$4, IF(AZ$4=BB$4, $B$3, IF(AZ$4&gt;BB$4, $B$2, $B$4)),
 IF(AY8=BA$4, IF(BB$4=AZ$4, $B$3, IF(BB$4&gt;AZ$4, $B$2, $B$4)), ""))))))</f>
        <v>1</v>
      </c>
      <c r="BA8" s="1">
        <v>0</v>
      </c>
      <c r="BB8" s="111">
        <f>SUM(AZ8,BA8)</f>
        <v>1</v>
      </c>
      <c r="BC8" s="1" t="s">
        <v>14</v>
      </c>
      <c r="BD8" s="81">
        <f>IF(BC8="Out", VALUE($D8), IF(OR(BF$3="", BF$4=""),"", IF(BC8=BC$3, IF(BD$3=BF$3, $B$3, IF(BD$3&gt;BF$3, $B$2, $B$4)),
 IF(BC8=BE$3, IF(BF$3=BD$3, $B$3, IF(BF$3&gt;BD$3, $B$2, $B$4)),
 IF(BC8=BC$4, IF(BD$4=BF$4, $B$3, IF(BD$4&gt;BF$4, $B$2, $B$4)),
 IF(BC8=BE$4, IF(BF$4=BD$4, $B$3, IF(BF$4&gt;BD$4, $B$2, $B$4)), ""))))))</f>
        <v>1</v>
      </c>
      <c r="BE8" s="1">
        <v>0</v>
      </c>
      <c r="BF8" s="78">
        <f>SUM(BD8,BE8)</f>
        <v>1</v>
      </c>
      <c r="BG8" s="98" t="s">
        <v>12</v>
      </c>
      <c r="BH8" s="81">
        <f>IF(BG8="Out", VALUE($D8), IF(OR(BJ$3="", BJ$4=""),"", IF(BG8=BG$3, IF(BH$3=BJ$3, $B$3, IF(BH$3&gt;BJ$3, $B$2, $B$4)),
 IF(BG8=BI$3, IF(BJ$3=BH$3, $B$3, IF(BJ$3&gt;BH$3, $B$2, $B$4)),
 IF(BG8=BG$4, IF(BH$4=BJ$4, $B$3, IF(BH$4&gt;BJ$4, $B$2, $B$4)),
 IF(BG8=BI$4, IF(BJ$4=BH$4, $B$3, IF(BJ$4&gt;BH$4, $B$2, $B$4)), ""))))))</f>
        <v>0</v>
      </c>
      <c r="BI8" s="1">
        <v>0</v>
      </c>
      <c r="BJ8" s="78">
        <f>SUM(BH8,BI8)</f>
        <v>0</v>
      </c>
      <c r="BK8" s="98" t="s">
        <v>12</v>
      </c>
      <c r="BL8" s="81">
        <f>IF(BK8="Out", VALUE($D8), IF(OR(BN$3="", BN$4=""),"", IF(BK8=BK$3, IF(BL$3=BN$3, $B$3, IF(BL$3&gt;BN$3, $B$2, $B$4)),
 IF(BK8=BM$3, IF(BN$3=BL$3, $B$3, IF(BN$3&gt;BL$3, $B$2, $B$4)),
 IF(BK8=BK$4, IF(BL$4=BN$4, $B$3, IF(BL$4&gt;BN$4, $B$2, $B$4)),
 IF(BK8=BM$4, IF(BN$4=BL$4, $B$3, IF(BN$4&gt;BL$4, $B$2, $B$4)), ""))))))</f>
        <v>0</v>
      </c>
      <c r="BM8" s="1">
        <v>0</v>
      </c>
      <c r="BN8" s="78">
        <f>SUM(BL8,BM8)</f>
        <v>0</v>
      </c>
      <c r="BO8" s="94">
        <f>SUM(AX8,BB8,BF8,BJ8,BN8)</f>
        <v>3</v>
      </c>
      <c r="BP8" s="98" t="s">
        <v>15</v>
      </c>
      <c r="BQ8" s="81">
        <f>IF(BP8="Out", VALUE($D8), IF(OR(BS$3="", BS$4=""),"", IF(BP8=BP$3, IF(BQ$3=BS$3, $B$3, IF(BQ$3&gt;BS$3, $B$2, $B$4)),
 IF(BP8=BR$3, IF(BS$3=BQ$3, $B$3, IF(BS$3&gt;BQ$3, $B$2, $B$4)),
 IF(BP8=BP$4, IF(BQ$4=BS$4, $B$3, IF(BQ$4&gt;BS$4, $B$2, $B$4)),
 IF(BP8=BR$4, IF(BS$4=BQ$4, $B$3, IF(BS$4&gt;BQ$4, $B$2, $B$4)), ""))))))</f>
        <v>0</v>
      </c>
      <c r="BR8" s="1">
        <v>0</v>
      </c>
      <c r="BS8" s="112">
        <f>SUM(BQ8,BR8)</f>
        <v>0</v>
      </c>
      <c r="BT8" s="98" t="s">
        <v>11</v>
      </c>
      <c r="BU8" s="81">
        <f>IF(BT8="Out", VALUE($D8), IF(OR(BW$3="", BW$4=""),"", IF(BT8=BT$3, IF(BU$3=BW$3, $B$3, IF(BU$3&gt;BW$3, $B$2, $B$4)),
 IF(BT8=BV$3, IF(BW$3=BU$3, $B$3, IF(BW$3&gt;BU$3, $B$2, $B$4)),
 IF(BT8=BT$4, IF(BU$4=BW$4, $B$3, IF(BU$4&gt;BW$4, $B$2, $B$4)),
 IF(BT8=BV$4, IF(BW$4=BU$4, $B$3, IF(BW$4&gt;BU$4, $B$2, $B$4)), ""))))))</f>
        <v>3</v>
      </c>
      <c r="BV8" s="1">
        <v>0</v>
      </c>
      <c r="BW8" s="112">
        <f>SUM(BU8,BV8)</f>
        <v>3</v>
      </c>
      <c r="BX8" s="98" t="s">
        <v>15</v>
      </c>
      <c r="BY8" s="81">
        <f>IF(BX8="Out", VALUE($D8), IF(OR(CA$3="", CA$4=""),"", IF(BX8=BX$3, IF(BY$3=CA$3, $B$3, IF(BY$3&gt;CA$3, $B$2, $B$4)),
 IF(BX8=BZ$3, IF(CA$3=BY$3, $B$3, IF(CA$3&gt;BY$3, $B$2, $B$4)),
 IF(BX8=BX$4, IF(BY$4=CA$4, $B$3, IF(BY$4&gt;CA$4, $B$2, $B$4)),
 IF(BX8=BZ$4, IF(CA$4=BY$4, $B$3, IF(CA$4&gt;BY$4, $B$2, $B$4)), ""))))))</f>
        <v>3</v>
      </c>
      <c r="BZ8" s="1">
        <v>1</v>
      </c>
      <c r="CA8" s="112">
        <f>SUM(BY8,BZ8)</f>
        <v>4</v>
      </c>
      <c r="CB8" s="98" t="s">
        <v>12</v>
      </c>
      <c r="CC8" s="81">
        <f>IF(CB8="Out", VALUE($D8), IF(OR(CE$3="", CE$4=""),"", IF(CB8=CB$3, IF(CC$3=CE$3, $B$3, IF(CC$3&gt;CE$3, $B$2, $B$4)),
 IF(CB8=CD$3, IF(CE$3=CC$3, $B$3, IF(CE$3&gt;CC$3, $B$2, $B$4)),
 IF(CB8=CB$4, IF(CC$4=CE$4, $B$3, IF(CC$4&gt;CE$4, $B$2, $B$4)),
 IF(CB8=CD$4, IF(CE$4=CC$4, $B$3, IF(CE$4&gt;CC$4, $B$2, $B$4)), ""))))))</f>
        <v>0</v>
      </c>
      <c r="CD8" s="1">
        <v>1</v>
      </c>
      <c r="CE8" s="112">
        <f>SUM(CC8,CD8)</f>
        <v>1</v>
      </c>
      <c r="CF8" s="98" t="s">
        <v>15</v>
      </c>
      <c r="CG8" s="81">
        <f>IF(CF8="Out", VALUE($D8), IF(OR(CI$3="", CI$4=""),"", IF(CF8=CF$3, IF(CG$3=CI$3, $B$3, IF(CG$3&gt;CI$3, $B$2, $B$4)),
 IF(CF8=CH$3, IF(CI$3=CG$3, $B$3, IF(CI$3&gt;CG$3, $B$2, $B$4)),
 IF(CF8=CF$4, IF(CG$4=CI$4, $B$3, IF(CG$4&gt;CI$4, $B$2, $B$4)),
 IF(CF8=CH$4, IF(CI$4=CG$4, $B$3, IF(CI$4&gt;CG$4, $B$2, $B$4)), ""))))))</f>
        <v>3</v>
      </c>
      <c r="CH8" s="1">
        <v>1</v>
      </c>
      <c r="CI8" s="112">
        <f>SUM(CG8,CH8)</f>
        <v>4</v>
      </c>
      <c r="CJ8" s="151">
        <f>SUM(BS8,BW8,CA8,CE8,CI8)</f>
        <v>12</v>
      </c>
      <c r="CK8" s="42" t="s">
        <v>32</v>
      </c>
      <c r="CL8" s="84">
        <f ca="1">IF(CK8="Out", VALUE($D8), IF(OR(CN$3="", CN$4=""),"", IF(CK8=CK$3, IF(CL$3=CN$3, $B$3, IF(CL$3&gt;CN$3, $B$2, $B$4)),
 IF(CK8=CM$3, IF(CN$3=CL$3, $B$3, IF(CN$3&gt;CL$3, $B$2, $B$4)),
 IF(CK8=CK$4, IF(CL$4=CN$4, $B$3, IF(CL$4&gt;CN$4, $B$2, $B$4)),
 IF(CK8=CM$4, IF(CN$4=CL$4, $B$3, IF(CN$4&gt;CL$4, $B$2, $B$4)), ""))))))</f>
        <v>1.5151515151515151</v>
      </c>
      <c r="CM8" s="41">
        <f ca="1">IF(CK8="Out", $C8)</f>
        <v>0.2424242424242424</v>
      </c>
      <c r="CN8" s="113">
        <f ca="1">SUM(CL8,CM8)</f>
        <v>1.7575757575757576</v>
      </c>
      <c r="CO8" s="42" t="s">
        <v>32</v>
      </c>
      <c r="CP8" s="84">
        <f ca="1">IF(CO8="Out", VALUE($D8), IF(OR(CR$3="", CR$4=""),"", IF(CO8=CO$3, IF(CP$3=CR$3, $B$3, IF(CP$3&gt;CR$3, $B$2, $B$4)),
 IF(CO8=CQ$3, IF(CR$3=CP$3, $B$3, IF(CR$3&gt;CP$3, $B$2, $B$4)),
 IF(CO8=CO$4, IF(CP$4=CR$4, $B$3, IF(CP$4&gt;CR$4, $B$2, $B$4)),
 IF(CO8=CQ$4, IF(CR$4=CP$4, $B$3, IF(CR$4&gt;CP$4, $B$2, $B$4)), ""))))))</f>
        <v>1.5151515151515151</v>
      </c>
      <c r="CQ8" s="41">
        <f ca="1">IF(CO8="Out", $C8)</f>
        <v>0.2424242424242424</v>
      </c>
      <c r="CR8" s="113">
        <f ca="1">SUM(CP8,CQ8)</f>
        <v>1.7575757575757576</v>
      </c>
      <c r="CS8" s="42" t="s">
        <v>32</v>
      </c>
      <c r="CT8" s="84">
        <f ca="1">IF(CS8="Out", VALUE($D8), IF(OR(CV$3="", CV$4=""),"", IF(CS8=CS$3, IF(CT$3=CV$3, $B$3, IF(CT$3&gt;CV$3, $B$2, $B$4)),
 IF(CS8=CU$3, IF(CV$3=CT$3, $B$3, IF(CV$3&gt;CT$3, $B$2, $B$4)),
 IF(CS8=CS$4, IF(CT$4=CV$4, $B$3, IF(CT$4&gt;CV$4, $B$2, $B$4)),
 IF(CS8=CU$4, IF(CV$4=CT$4, $B$3, IF(CV$4&gt;CT$4, $B$2, $B$4)), ""))))))</f>
        <v>1.5151515151515151</v>
      </c>
      <c r="CU8" s="41">
        <f ca="1">IF(CS8="Out", $C8)</f>
        <v>0.2424242424242424</v>
      </c>
      <c r="CV8" s="113">
        <f ca="1">SUM(CT8,CU8)</f>
        <v>1.7575757575757576</v>
      </c>
      <c r="CW8" s="42" t="s">
        <v>32</v>
      </c>
      <c r="CX8" s="84">
        <f ca="1">IF(CW8="Out", VALUE($D8), IF(OR(CZ$3="", CZ$4=""),"", IF(CW8=CW$3, IF(CX$3=CZ$3, $B$3, IF(CX$3&gt;CZ$3, $B$2, $B$4)),
 IF(CW8=CY$3, IF(CZ$3=CX$3, $B$3, IF(CZ$3&gt;CX$3, $B$2, $B$4)),
 IF(CW8=CW$4, IF(CX$4=CZ$4, $B$3, IF(CX$4&gt;CZ$4, $B$2, $B$4)),
 IF(CW8=CY$4, IF(CZ$4=CX$4, $B$3, IF(CZ$4&gt;CX$4, $B$2, $B$4)), ""))))))</f>
        <v>1.5151515151515151</v>
      </c>
      <c r="CY8" s="41">
        <f ca="1">IF(CW8="Out", $C8)</f>
        <v>0.2424242424242424</v>
      </c>
      <c r="CZ8" s="113">
        <f ca="1">SUM(CX8,CY8)</f>
        <v>1.7575757575757576</v>
      </c>
      <c r="DA8" s="42" t="s">
        <v>32</v>
      </c>
      <c r="DB8" s="84">
        <f ca="1">IF(DA8="Out", VALUE($D8), IF(OR(DD$3="", DD$4=""),"", IF(DA8=DA$3, IF(DB$3=DD$3, $B$3, IF(DB$3&gt;DD$3, $B$2, $B$4)),
 IF(DA8=DC$3, IF(DD$3=DB$3, $B$3, IF(DD$3&gt;DB$3, $B$2, $B$4)),
 IF(DA8=DA$4, IF(DB$4=DD$4, $B$3, IF(DB$4&gt;DD$4, $B$2, $B$4)),
 IF(DA8=DC$4, IF(DD$4=DB$4, $B$3, IF(DD$4&gt;DB$4, $B$2, $B$4)), ""))))))</f>
        <v>1.5151515151515151</v>
      </c>
      <c r="DC8" s="41">
        <f ca="1">IF(DA8="Out", $C8)</f>
        <v>0.2424242424242424</v>
      </c>
      <c r="DD8" s="113">
        <f ca="1">SUM(DB8,DC8)</f>
        <v>1.7575757575757576</v>
      </c>
      <c r="DE8" s="151">
        <f ca="1">SUM(CN8,CR8,CV8,CZ8,DD8)</f>
        <v>8.7878787878787872</v>
      </c>
      <c r="DF8" s="1" t="s">
        <v>12</v>
      </c>
      <c r="DG8" s="81">
        <f t="shared" ref="DG8:DG36" si="4">IF(DF8="Out", VALUE($D8), IF(OR(DI$3="", DI$4=""),"", IF(DF8=DF$3, IF(DG$3=DI$3, $B$3, IF(DG$3&gt;DI$3, $B$2, $B$4)),
 IF(DF8=DH$3, IF(DI$3=DG$3, $B$3, IF(DI$3&gt;DG$3, $B$2, $B$4)),
 IF(DF8=DF$4, IF(DG$4=DI$4, $B$3, IF(DG$4&gt;DI$4, $B$2, $B$4)),
 IF(DF8=DH$4, IF(DI$4=DG$4, $B$3, IF(DI$4&gt;DG$4, $B$2, $B$4)), ""))))))</f>
        <v>3</v>
      </c>
      <c r="DH8" s="1">
        <v>0</v>
      </c>
      <c r="DI8" s="112">
        <f t="shared" ref="DI8:DI36" si="5">SUM(DG8,DH8)</f>
        <v>3</v>
      </c>
      <c r="DJ8" s="1" t="s">
        <v>11</v>
      </c>
      <c r="DK8" s="81">
        <f t="shared" ref="DK8:DK36" si="6">IF(DJ8="Out", VALUE($D8), IF(OR(DM$3="", DM$4=""),"", IF(DJ8=DJ$3, IF(DK$3=DM$3, $B$3, IF(DK$3&gt;DM$3, $B$2, $B$4)),
 IF(DJ8=DL$3, IF(DM$3=DK$3, $B$3, IF(DM$3&gt;DK$3, $B$2, $B$4)),
 IF(DJ8=DJ$4, IF(DK$4=DM$4, $B$3, IF(DK$4&gt;DM$4, $B$2, $B$4)),
 IF(DJ8=DL$4, IF(DM$4=DK$4, $B$3, IF(DM$4&gt;DK$4, $B$2, $B$4)), ""))))))</f>
        <v>3</v>
      </c>
      <c r="DL8" s="1">
        <v>1</v>
      </c>
      <c r="DM8" s="112">
        <f t="shared" ref="DM8:DM36" si="7">SUM(DK8,DL8)</f>
        <v>4</v>
      </c>
      <c r="DN8" s="1" t="s">
        <v>14</v>
      </c>
      <c r="DO8" s="81">
        <f t="shared" ref="DO8:DO36" si="8">IF(DN8="Out", VALUE($D8), IF(OR(DQ$3="", DQ$4=""),"", IF(DN8=DN$3, IF(DO$3=DQ$3, $B$3, IF(DO$3&gt;DQ$3, $B$2, $B$4)),
 IF(DN8=DP$3, IF(DQ$3=DO$3, $B$3, IF(DQ$3&gt;DO$3, $B$2, $B$4)),
 IF(DN8=DN$4, IF(DO$4=DQ$4, $B$3, IF(DO$4&gt;DQ$4, $B$2, $B$4)),
 IF(DN8=DP$4, IF(DQ$4=DO$4, $B$3, IF(DQ$4&gt;DO$4, $B$2, $B$4)), ""))))))</f>
        <v>3</v>
      </c>
      <c r="DP8" s="1">
        <v>0</v>
      </c>
      <c r="DQ8" s="112">
        <f t="shared" ref="DQ8:DQ36" si="9">SUM(DO8,DP8)</f>
        <v>3</v>
      </c>
      <c r="DR8" s="1" t="s">
        <v>11</v>
      </c>
      <c r="DS8" s="81">
        <f t="shared" ref="DS8:DS36" si="10">IF(DR8="Out", VALUE($D8), IF(OR(DU$3="", DU$4=""),"", IF(DR8=DR$3, IF(DS$3=DU$3, $B$3, IF(DS$3&gt;DU$3, $B$2, $B$4)),
 IF(DR8=DT$3, IF(DU$3=DS$3, $B$3, IF(DU$3&gt;DS$3, $B$2, $B$4)),
 IF(DR8=DR$4, IF(DS$4=DU$4, $B$3, IF(DS$4&gt;DU$4, $B$2, $B$4)),
 IF(DR8=DT$4, IF(DU$4=DS$4, $B$3, IF(DU$4&gt;DS$4, $B$2, $B$4)), ""))))))</f>
        <v>3</v>
      </c>
      <c r="DT8" s="1">
        <v>0</v>
      </c>
      <c r="DU8" s="112">
        <f t="shared" ref="DU8:DU36" si="11">SUM(DS8,DT8)</f>
        <v>3</v>
      </c>
      <c r="DV8" s="1" t="s">
        <v>14</v>
      </c>
      <c r="DW8" s="81">
        <f t="shared" ref="DW8:DW36" si="12">IF(DV8="Out", VALUE($D8), IF(OR(DY$3="", DY$4=""),"", IF(DV8=DV$3, IF(DW$3=DY$3, $B$3, IF(DW$3&gt;DY$3, $B$2, $B$4)),
 IF(DV8=DX$3, IF(DY$3=DW$3, $B$3, IF(DY$3&gt;DW$3, $B$2, $B$4)),
 IF(DV8=DV$4, IF(DW$4=DY$4, $B$3, IF(DW$4&gt;DY$4, $B$2, $B$4)),
 IF(DV8=DX$4, IF(DY$4=DW$4, $B$3, IF(DY$4&gt;DW$4, $B$2, $B$4)), ""))))))</f>
        <v>3</v>
      </c>
      <c r="DX8" s="1">
        <v>0</v>
      </c>
      <c r="DY8" s="112">
        <f t="shared" ref="DY8:DY36" si="13">SUM(DW8,DX8)</f>
        <v>3</v>
      </c>
      <c r="DZ8" s="151">
        <f>SUM(DI8,DM8,DQ8,DU8,DY8)</f>
        <v>16</v>
      </c>
      <c r="EA8" s="185" t="s">
        <v>15</v>
      </c>
      <c r="EB8" s="184">
        <f t="shared" ref="EB8:EB36" si="14">IF(EA8="Out", VALUE($D8), IF(OR(ED$3="", ED$4=""),"", IF(EA8=EA$3, IF(EB$3=ED$3, $B$3, IF(EB$3&gt;ED$3, $B$2, $B$4)),
 IF(EA8=EC$3, IF(ED$3=EB$3, $B$3, IF(ED$3&gt;EB$3, $B$2, $B$4)),
 IF(EA8=EA$4, IF(EB$4=ED$4, $B$3, IF(EB$4&gt;ED$4, $B$2, $B$4)),
 IF(EA8=EC$4, IF(ED$4=EB$4, $B$3, IF(ED$4&gt;EB$4, $B$2, $B$4)), ""))))))</f>
        <v>1</v>
      </c>
      <c r="EC8" s="185">
        <v>0</v>
      </c>
      <c r="ED8" s="112">
        <f t="shared" ref="ED8:ED36" si="15">SUM(EB8,EC8)</f>
        <v>1</v>
      </c>
      <c r="EE8" s="185" t="s">
        <v>11</v>
      </c>
      <c r="EF8" s="184">
        <f t="shared" ref="EF8:EF36" si="16">IF(EE8="Out", VALUE($D8), IF(OR(EH$3="", EH$4=""),"", IF(EE8=EE$3, IF(EF$3=EH$3, $B$3, IF(EF$3&gt;EH$3, $B$2, $B$4)),
 IF(EE8=EG$3, IF(EH$3=EF$3, $B$3, IF(EH$3&gt;EF$3, $B$2, $B$4)),
 IF(EE8=EE$4, IF(EF$4=EH$4, $B$3, IF(EF$4&gt;EH$4, $B$2, $B$4)),
 IF(EE8=EG$4, IF(EH$4=EF$4, $B$3, IF(EH$4&gt;EF$4, $B$2, $B$4)), ""))))))</f>
        <v>3</v>
      </c>
      <c r="EG8" s="185">
        <v>0</v>
      </c>
      <c r="EH8" s="112">
        <f t="shared" ref="EH8:EH36" si="17">SUM(EF8,EG8)</f>
        <v>3</v>
      </c>
      <c r="EI8" s="185" t="s">
        <v>12</v>
      </c>
      <c r="EJ8" s="184">
        <f t="shared" ref="EJ8:EJ36" si="18">IF(EI8="Out", VALUE($D8), IF(OR(EL$3="", EL$4=""),"", IF(EI8=EI$3, IF(EJ$3=EL$3, $B$3, IF(EJ$3&gt;EL$3, $B$2, $B$4)),
 IF(EI8=EK$3, IF(EL$3=EJ$3, $B$3, IF(EL$3&gt;EJ$3, $B$2, $B$4)),
 IF(EI8=EI$4, IF(EJ$4=EL$4, $B$3, IF(EJ$4&gt;EL$4, $B$2, $B$4)),
 IF(EI8=EK$4, IF(EL$4=EJ$4, $B$3, IF(EL$4&gt;EJ$4, $B$2, $B$4)), ""))))))</f>
        <v>0</v>
      </c>
      <c r="EK8" s="185">
        <v>0</v>
      </c>
      <c r="EL8" s="112">
        <f t="shared" ref="EL8:EL36" si="19">SUM(EJ8,EK8)</f>
        <v>0</v>
      </c>
      <c r="EM8" s="185" t="s">
        <v>11</v>
      </c>
      <c r="EN8" s="184">
        <f t="shared" ref="EN8:EN36" si="20">IF(EM8="Out", VALUE($D8), IF(OR(EP$3="", EP$4=""),"", IF(EM8=EM$3, IF(EN$3=EP$3, $B$3, IF(EN$3&gt;EP$3, $B$2, $B$4)),
 IF(EM8=EO$3, IF(EP$3=EN$3, $B$3, IF(EP$3&gt;EN$3, $B$2, $B$4)),
 IF(EM8=EM$4, IF(EN$4=EP$4, $B$3, IF(EN$4&gt;EP$4, $B$2, $B$4)),
 IF(EM8=EO$4, IF(EP$4=EN$4, $B$3, IF(EP$4&gt;EN$4, $B$2, $B$4)), ""))))))</f>
        <v>0</v>
      </c>
      <c r="EO8" s="185">
        <v>0</v>
      </c>
      <c r="EP8" s="112">
        <f t="shared" ref="EP8:EP36" si="21">SUM(EN8,EO8)</f>
        <v>0</v>
      </c>
      <c r="EQ8" s="185" t="s">
        <v>15</v>
      </c>
      <c r="ER8" s="184">
        <f t="shared" ref="ER8:ER36" si="22">IF(EQ8="Out", VALUE($D8), IF(OR(ET$3="", ET$4=""),"", IF(EQ8=EQ$3, IF(ER$3=ET$3, $B$3, IF(ER$3&gt;ET$3, $B$2, $B$4)),
 IF(EQ8=ES$3, IF(ET$3=ER$3, $B$3, IF(ET$3&gt;ER$3, $B$2, $B$4)),
 IF(EQ8=EQ$4, IF(ER$4=ET$4, $B$3, IF(ER$4&gt;ET$4, $B$2, $B$4)),
 IF(EQ8=ES$4, IF(ET$4=ER$4, $B$3, IF(ET$4&gt;ER$4, $B$2, $B$4)), ""))))))</f>
        <v>3</v>
      </c>
      <c r="ES8" s="185">
        <v>1</v>
      </c>
      <c r="ET8" s="112">
        <f t="shared" ref="ET8:ET36" si="23">SUM(ER8,ES8)</f>
        <v>4</v>
      </c>
      <c r="EU8" s="151">
        <f>SUM(ED8,EH8,EL8,EP8,ET8)</f>
        <v>8</v>
      </c>
      <c r="EV8" s="1" t="s">
        <v>12</v>
      </c>
      <c r="EW8" s="184">
        <f t="shared" ref="EW8:EW36" si="24">IF(EV8="Out", VALUE($D8), IF(OR(EY$3="", EY$4=""),"", IF(EV8=EV$3, IF(EW$3=EY$3, $B$3, IF(EW$3&gt;EY$3, $B$2, $B$4)),
 IF(EV8=EX$3, IF(EY$3=EW$3, $B$3, IF(EY$3&gt;EW$3, $B$2, $B$4)),
 IF(EV8=EV$4, IF(EW$4=EY$4, $B$3, IF(EW$4&gt;EY$4, $B$2, $B$4)),
 IF(EV8=EX$4, IF(EY$4=EW$4, $B$3, IF(EY$4&gt;EW$4, $B$2, $B$4)), ""))))))</f>
        <v>3</v>
      </c>
      <c r="EX8" s="1">
        <v>0</v>
      </c>
      <c r="EY8" s="112">
        <f t="shared" ref="EY8:EY36" si="25">SUM(EW8,EX8)</f>
        <v>3</v>
      </c>
      <c r="EZ8" s="1" t="s">
        <v>12</v>
      </c>
      <c r="FA8" s="184">
        <f t="shared" ref="FA8:FA36" si="26">IF(EZ8="Out", VALUE($D8), IF(OR(FC$3="", FC$4=""),"", IF(EZ8=EZ$3, IF(FA$3=FC$3, $B$3, IF(FA$3&gt;FC$3, $B$2, $B$4)),
 IF(EZ8=FB$3, IF(FC$3=FA$3, $B$3, IF(FC$3&gt;FA$3, $B$2, $B$4)),
 IF(EZ8=EZ$4, IF(FA$4=FC$4, $B$3, IF(FA$4&gt;FC$4, $B$2, $B$4)),
 IF(EZ8=FB$4, IF(FC$4=FA$4, $B$3, IF(FC$4&gt;FA$4, $B$2, $B$4)), ""))))))</f>
        <v>0</v>
      </c>
      <c r="FB8" s="1">
        <v>0</v>
      </c>
      <c r="FC8" s="112">
        <f t="shared" ref="FC8:FC36" si="27">SUM(FA8,FB8)</f>
        <v>0</v>
      </c>
      <c r="FD8" s="1" t="s">
        <v>14</v>
      </c>
      <c r="FE8" s="184">
        <f t="shared" ref="FE8:FE36" si="28">IF(FD8="Out", VALUE($D8), IF(OR(FG$3="", FG$4=""),"", IF(FD8=FD$3, IF(FE$3=FG$3, $B$3, IF(FE$3&gt;FG$3, $B$2, $B$4)),
 IF(FD8=FF$3, IF(FG$3=FE$3, $B$3, IF(FG$3&gt;FE$3, $B$2, $B$4)),
 IF(FD8=FD$4, IF(FE$4=FG$4, $B$3, IF(FE$4&gt;FG$4, $B$2, $B$4)),
 IF(FD8=FF$4, IF(FG$4=FE$4, $B$3, IF(FG$4&gt;FE$4, $B$2, $B$4)), ""))))))</f>
        <v>0</v>
      </c>
      <c r="FF8" s="1">
        <v>0</v>
      </c>
      <c r="FG8" s="112">
        <f t="shared" ref="FG8:FG36" si="29">SUM(FE8,FF8)</f>
        <v>0</v>
      </c>
      <c r="FH8" s="1" t="s">
        <v>12</v>
      </c>
      <c r="FI8" s="184">
        <f t="shared" ref="FI8:FI36" si="30">IF(FH8="Out", VALUE($D8), IF(OR(FK$3="", FK$4=""),"", IF(FH8=FH$3, IF(FI$3=FK$3, $B$3, IF(FI$3&gt;FK$3, $B$2, $B$4)),
 IF(FH8=FJ$3, IF(FK$3=FI$3, $B$3, IF(FK$3&gt;FI$3, $B$2, $B$4)),
 IF(FH8=FH$4, IF(FI$4=FK$4, $B$3, IF(FI$4&gt;FK$4, $B$2, $B$4)),
 IF(FH8=FJ$4, IF(FK$4=FI$4, $B$3, IF(FK$4&gt;FI$4, $B$2, $B$4)), ""))))))</f>
        <v>3</v>
      </c>
      <c r="FJ8" s="1">
        <v>1</v>
      </c>
      <c r="FK8" s="112">
        <f t="shared" ref="FK8:FK36" si="31">SUM(FI8,FJ8)</f>
        <v>4</v>
      </c>
      <c r="FL8" s="151">
        <f>SUM(EU8,EY8,FC8,FG8,FK8)</f>
        <v>15</v>
      </c>
    </row>
    <row r="9" spans="1:171" x14ac:dyDescent="0.2">
      <c r="A9" s="3" t="s">
        <v>33</v>
      </c>
      <c r="B9" s="4" t="s">
        <v>34</v>
      </c>
      <c r="C9" s="65">
        <f t="shared" ref="C9:C36" ca="1" si="32">AVERAGEIF($7:$7,"Goals",9:9)</f>
        <v>0.3636363636363637</v>
      </c>
      <c r="D9" s="65">
        <f t="shared" ref="D9:D36" ca="1" si="33">VALUE(AVERAGEIF($E$7:$ZZ$7,"Team Pts",$E9:$ZZ9))</f>
        <v>1.5454545454545456</v>
      </c>
      <c r="E9" s="15" t="s">
        <v>11</v>
      </c>
      <c r="F9" s="16">
        <f t="shared" si="0"/>
        <v>0</v>
      </c>
      <c r="G9" s="1">
        <v>0</v>
      </c>
      <c r="H9" s="1">
        <f t="shared" ref="H9:H36" si="34">SUM(F9,G9)</f>
        <v>0</v>
      </c>
      <c r="I9" s="15" t="s">
        <v>11</v>
      </c>
      <c r="J9" s="16">
        <f t="shared" si="1"/>
        <v>0</v>
      </c>
      <c r="K9" s="78">
        <v>0</v>
      </c>
      <c r="L9" s="1">
        <f t="shared" ref="L9:L36" si="35">SUM(J9,K9)</f>
        <v>0</v>
      </c>
      <c r="M9" s="15" t="s">
        <v>12</v>
      </c>
      <c r="N9" s="16">
        <f t="shared" si="2"/>
        <v>3</v>
      </c>
      <c r="O9" s="1">
        <v>1</v>
      </c>
      <c r="P9" s="1">
        <f t="shared" ref="P9:P36" si="36">SUM(N9,O9)</f>
        <v>4</v>
      </c>
      <c r="Q9" s="15" t="s">
        <v>12</v>
      </c>
      <c r="R9" s="16">
        <f t="shared" si="3"/>
        <v>3</v>
      </c>
      <c r="S9" s="1">
        <v>0</v>
      </c>
      <c r="T9" s="1">
        <f t="shared" ref="T9:T36" si="37">SUM(R9,S9)</f>
        <v>3</v>
      </c>
      <c r="U9" s="15" t="s">
        <v>15</v>
      </c>
      <c r="V9" s="16">
        <f t="shared" ref="V9:V36" si="38">IF(OR(X$3="", X$4=""),"", IF(U9=U$3, IF(V$3=X$3, B$3, IF(V$3&gt;X$3, B$2, B$4)),
 IF(U9=W$3, IF(X$3=V$3, B$3, IF(X$3&gt;V$3, B$2, B$4)),
 IF(U9=U$4, IF(V$4=X$4, B$3, IF(V$4&gt;X$4, B$2, B$4)),
 IF(U9=W$4, IF(X$4=V$4, B$3, IF(X$4&gt;V$4, B$2, B$4)), "")))))</f>
        <v>0</v>
      </c>
      <c r="W9" s="1">
        <v>0</v>
      </c>
      <c r="X9" s="1">
        <f t="shared" ref="X9:X36" si="39">SUM(V9,W9)</f>
        <v>0</v>
      </c>
      <c r="Y9" s="95">
        <f t="shared" ref="Y9:Y36" si="40">SUM(H9,L9,P9,T9,X9)</f>
        <v>7</v>
      </c>
      <c r="Z9" s="71" t="s">
        <v>32</v>
      </c>
      <c r="AA9" s="84">
        <f ca="1">IF(Z9="Out", D9, IF(OR(AC$3="", AC$4=""),"", IF(Z9=Z$3, IF(AA$3=AC$3, $B$3, IF(AA$3&gt;AC$3, $B$2, $B$4)),
 IF(Z9=AB$3, IF(AC$3=AA$3, $B$3, IF(AC$3&gt;AA$3, $B$2, $B$4)),
 IF(Z9=Z$4, IF(AA$4=AC$4, $B$3, IF(AA$4&gt;AC$4, $B$2, $B$4)),
 IF(Z9=AB$4, IF(AC$4=AA$4, $B$3, IF(AC$4&gt;AA$4, $B$2, $B$4)), ""))))))</f>
        <v>1.5454545454545456</v>
      </c>
      <c r="AB9" s="85">
        <f ca="1">IF(Z9="Out", $C9)</f>
        <v>0.3636363636363637</v>
      </c>
      <c r="AC9" s="86">
        <f t="shared" ref="AC9:AC36" ca="1" si="41">SUM(AA9,AB9)</f>
        <v>1.9090909090909094</v>
      </c>
      <c r="AD9" s="28" t="s">
        <v>15</v>
      </c>
      <c r="AE9" s="16">
        <f t="shared" ref="AE9:AE36" si="42">IF(AD9="Out", VALUE($D9), IF(OR(AG$3="", AG$4=""),"", IF(AD9=AD$3, IF(AE$3=AG$3, $B$3, IF(AE$3&gt;AG$3, $B$2, $B$4)),
 IF(AD9=AF$3, IF(AG$3=AE$3, $B$3, IF(AG$3&gt;AE$3, $B$2, $B$4)),
 IF(AD9=AD$4, IF(AE$4=AG$4, $B$3, IF(AE$4&gt;AG$4, $B$2, $B$4)),
 IF(AD9=AF$4, IF(AG$4=AE$4, $B$3, IF(AG$4&gt;AE$4, $B$2, $B$4)), ""))))))</f>
        <v>3</v>
      </c>
      <c r="AF9" s="27">
        <v>0</v>
      </c>
      <c r="AG9" s="1">
        <f t="shared" ref="AG9:AG36" si="43">SUM(AE9,AF9)</f>
        <v>3</v>
      </c>
      <c r="AH9" s="28" t="s">
        <v>14</v>
      </c>
      <c r="AI9" s="16">
        <f t="shared" ref="AI9:AI36" si="44">IF(OR(AK$3="", AK$4=""),"", IF(AH9=AH$3, IF(AI$3=AK$3, $B$3, IF(AI$3&gt;AK$3, $B$2, $B$4)),
 IF(AH9=AJ$3, IF(AK$3=AI$3, $B$3, IF(AK$3&gt;AI$3, $B$2, $B$4)),
 IF(AH9=AH$4, IF(AI$4=AK$4, $B$3, IF(AI$4&gt;AK$4, $B$2, $B$4)),
 IF(AH9=AJ$4, IF(AK$4=AI$4, $B$3, IF(AK$4&gt;AI$4, $B$2, $B$4)), "")))))</f>
        <v>0</v>
      </c>
      <c r="AJ9" s="27">
        <v>0</v>
      </c>
      <c r="AK9" s="17">
        <f t="shared" ref="AK9:AK36" si="45">SUM(AI9,AJ9)</f>
        <v>0</v>
      </c>
      <c r="AL9" s="27" t="s">
        <v>15</v>
      </c>
      <c r="AM9" s="16">
        <f t="shared" ref="AM9:AM36" si="46">IF(OR(AO$3="", AO$4=""),"", IF(AL9=AL$3, IF(AM$3=AO$3, $B$3, IF(AM$3&gt;AO$3, $B$2, $B$4)),
 IF(AL9=AN$3, IF(AO$3=AM$3, $B$3, IF(AO$3&gt;AM$3, $B$2, $B$4)),
 IF(AL9=AL$4, IF(AM$4=AO$4, $B$3, IF(AM$4&gt;AO$4, $B$2, $B$4)),
 IF(AL9=AN$4, IF(AO$4=AM$4, $B$3, IF(AO$4&gt;AM$4, $B$2, $B$4)), "")))))</f>
        <v>1</v>
      </c>
      <c r="AN9" s="27">
        <v>0</v>
      </c>
      <c r="AO9" s="1">
        <f t="shared" ref="AO9:AO36" si="47">SUM(AM9,AN9)</f>
        <v>1</v>
      </c>
      <c r="AP9" s="28" t="s">
        <v>11</v>
      </c>
      <c r="AQ9" s="16">
        <f t="shared" ref="AQ9:AQ36" si="48">IF(OR(AS$3="", AS$4=""),"", IF(AP9=AP$3, IF(AQ$3=AS$3, $B$3, IF(AQ$3&gt;AS$3, $B$2, $B$4)),
 IF(AP9=AR$3, IF(AS$3=AQ$3, $B$3, IF(AS$3&gt;AQ$3, $B$2, $B$4)),
 IF(AP9=AP$4, IF(AQ$4=AS$4, $B$3, IF(AQ$4&gt;AS$4, $B$2, $B$4)),
 IF(AP9=AR$4, IF(AS$4=AQ$4, $B$3, IF(AS$4&gt;AQ$4, $B$2, $B$4)), "")))))</f>
        <v>0</v>
      </c>
      <c r="AR9" s="27">
        <v>1</v>
      </c>
      <c r="AS9" s="1">
        <f t="shared" ref="AS9:AS36" si="49">SUM(AQ9,AR9)</f>
        <v>1</v>
      </c>
      <c r="AT9" s="95">
        <f t="shared" ref="AT9:AT36" ca="1" si="50">SUM(AC9,AG9,AK9,AO9,AS9)</f>
        <v>6.9090909090909092</v>
      </c>
      <c r="AU9" s="98" t="s">
        <v>12</v>
      </c>
      <c r="AV9" s="81">
        <f t="shared" ref="AV9:AV36" si="51">IF(AU9="Out", VALUE($D9), IF(OR(AX$3="", AX$4=""),"", IF(AU9=AU$3, IF(AV$3=AX$3, $B$3, IF(AV$3&gt;AX$3, $B$2, $B$4)),
 IF(AU9=AW$3, IF(AX$3=AV$3, $B$3, IF(AX$3&gt;AV$3, $B$2, $B$4)),
 IF(AU9=AU$4, IF(AV$4=AX$4, $B$3, IF(AV$4&gt;AX$4, $B$2, $B$4)),
 IF(AU9=AW$4, IF(AX$4=AV$4, $B$3, IF(AX$4&gt;AV$4, $B$2, $B$4)), ""))))))</f>
        <v>3</v>
      </c>
      <c r="AW9" s="1">
        <v>0</v>
      </c>
      <c r="AX9" s="112">
        <f t="shared" ref="AX9:AX36" si="52">SUM(AV9,AW9)</f>
        <v>3</v>
      </c>
      <c r="AY9" s="1" t="s">
        <v>15</v>
      </c>
      <c r="AZ9" s="81">
        <f t="shared" ref="AZ9:AZ36" si="53">IF(AY9="Out", VALUE($D9), IF(OR(BB$3="", BB$4=""),"", IF(AY9=AY$3, IF(AZ$3=BB$3, $B$3, IF(AZ$3&gt;BB$3, $B$2, $B$4)),
 IF(AY9=BA$3, IF(BB$3=AZ$3, $B$3, IF(BB$3&gt;AZ$3, $B$2, $B$4)),
 IF(AY9=AY$4, IF(AZ$4=BB$4, $B$3, IF(AZ$4&gt;BB$4, $B$2, $B$4)),
 IF(AY9=BA$4, IF(BB$4=AZ$4, $B$3, IF(BB$4&gt;AZ$4, $B$2, $B$4)), ""))))))</f>
        <v>0</v>
      </c>
      <c r="BA9" s="1">
        <v>0</v>
      </c>
      <c r="BB9" s="112">
        <f t="shared" ref="BB9:BB36" si="54">SUM(AZ9,BA9)</f>
        <v>0</v>
      </c>
      <c r="BC9" s="1" t="s">
        <v>11</v>
      </c>
      <c r="BD9" s="81">
        <f t="shared" ref="BD9:BD36" si="55">IF(BC9="Out", VALUE($D9), IF(OR(BF$3="", BF$4=""),"", IF(BC9=BC$3, IF(BD$3=BF$3, $B$3, IF(BD$3&gt;BF$3, $B$2, $B$4)),
 IF(BC9=BE$3, IF(BF$3=BD$3, $B$3, IF(BF$3&gt;BD$3, $B$2, $B$4)),
 IF(BC9=BC$4, IF(BD$4=BF$4, $B$3, IF(BD$4&gt;BF$4, $B$2, $B$4)),
 IF(BC9=BE$4, IF(BF$4=BD$4, $B$3, IF(BF$4&gt;BD$4, $B$2, $B$4)), ""))))))</f>
        <v>3</v>
      </c>
      <c r="BE9" s="1">
        <v>0</v>
      </c>
      <c r="BF9" s="78">
        <f t="shared" ref="BF9:BF36" si="56">SUM(BD9,BE9)</f>
        <v>3</v>
      </c>
      <c r="BG9" s="98" t="s">
        <v>12</v>
      </c>
      <c r="BH9" s="81">
        <f t="shared" ref="BH9:BH36" si="57">IF(BG9="Out", VALUE($D9), IF(OR(BJ$3="", BJ$4=""),"", IF(BG9=BG$3, IF(BH$3=BJ$3, $B$3, IF(BH$3&gt;BJ$3, $B$2, $B$4)),
 IF(BG9=BI$3, IF(BJ$3=BH$3, $B$3, IF(BJ$3&gt;BH$3, $B$2, $B$4)),
 IF(BG9=BG$4, IF(BH$4=BJ$4, $B$3, IF(BH$4&gt;BJ$4, $B$2, $B$4)),
 IF(BG9=BI$4, IF(BJ$4=BH$4, $B$3, IF(BJ$4&gt;BH$4, $B$2, $B$4)), ""))))))</f>
        <v>0</v>
      </c>
      <c r="BI9" s="1">
        <v>0</v>
      </c>
      <c r="BJ9" s="78">
        <f t="shared" ref="BJ9:BJ36" si="58">SUM(BH9,BI9)</f>
        <v>0</v>
      </c>
      <c r="BK9" s="98" t="s">
        <v>15</v>
      </c>
      <c r="BL9" s="81">
        <f t="shared" ref="BL9:BL36" si="59">IF(BK9="Out", VALUE($D9), IF(OR(BN$3="", BN$4=""),"", IF(BK9=BK$3, IF(BL$3=BN$3, $B$3, IF(BL$3&gt;BN$3, $B$2, $B$4)),
 IF(BK9=BM$3, IF(BN$3=BL$3, $B$3, IF(BN$3&gt;BL$3, $B$2, $B$4)),
 IF(BK9=BK$4, IF(BL$4=BN$4, $B$3, IF(BL$4&gt;BN$4, $B$2, $B$4)),
 IF(BK9=BM$4, IF(BN$4=BL$4, $B$3, IF(BN$4&gt;BL$4, $B$2, $B$4)), ""))))))</f>
        <v>3</v>
      </c>
      <c r="BM9" s="1">
        <v>0</v>
      </c>
      <c r="BN9" s="78">
        <f t="shared" ref="BN9:BN36" si="60">SUM(BL9,BM9)</f>
        <v>3</v>
      </c>
      <c r="BO9" s="95">
        <f t="shared" ref="BO9:BO36" si="61">SUM(AX9,BB9,BF9,BJ9,BN9)</f>
        <v>9</v>
      </c>
      <c r="BP9" s="103" t="s">
        <v>32</v>
      </c>
      <c r="BQ9" s="84">
        <f t="shared" ref="BQ9:BQ36" ca="1" si="62">IF(BP9="Out", VALUE($D9), IF(OR(BS$3="", BS$4=""),"", IF(BP9=BP$3, IF(BQ$3=BS$3, $B$3, IF(BQ$3&gt;BS$3, $B$2, $B$4)),
 IF(BP9=BR$3, IF(BS$3=BQ$3, $B$3, IF(BS$3&gt;BQ$3, $B$2, $B$4)),
 IF(BP9=BP$4, IF(BQ$4=BS$4, $B$3, IF(BQ$4&gt;BS$4, $B$2, $B$4)),
 IF(BP9=BR$4, IF(BS$4=BQ$4, $B$3, IF(BS$4&gt;BQ$4, $B$2, $B$4)), ""))))))</f>
        <v>1.5454545454545456</v>
      </c>
      <c r="BR9" s="41">
        <f ca="1">IF(BP9="Out", $C9)</f>
        <v>0.3636363636363637</v>
      </c>
      <c r="BS9" s="113">
        <f t="shared" ref="BS9:BS36" ca="1" si="63">SUM(BQ9,BR9)</f>
        <v>1.9090909090909094</v>
      </c>
      <c r="BT9" s="103" t="s">
        <v>32</v>
      </c>
      <c r="BU9" s="84">
        <f t="shared" ref="BU9:BU36" ca="1" si="64">IF(BT9="Out", VALUE($D9), IF(OR(BW$3="", BW$4=""),"", IF(BT9=BT$3, IF(BU$3=BW$3, $B$3, IF(BU$3&gt;BW$3, $B$2, $B$4)),
 IF(BT9=BV$3, IF(BW$3=BU$3, $B$3, IF(BW$3&gt;BU$3, $B$2, $B$4)),
 IF(BT9=BT$4, IF(BU$4=BW$4, $B$3, IF(BU$4&gt;BW$4, $B$2, $B$4)),
 IF(BT9=BV$4, IF(BW$4=BU$4, $B$3, IF(BW$4&gt;BU$4, $B$2, $B$4)), ""))))))</f>
        <v>1.5454545454545456</v>
      </c>
      <c r="BV9" s="41">
        <f ca="1">IF(BT9="Out", $C9)</f>
        <v>0.3636363636363637</v>
      </c>
      <c r="BW9" s="113">
        <f t="shared" ref="BW9:BW36" ca="1" si="65">SUM(BU9,BV9)</f>
        <v>1.9090909090909094</v>
      </c>
      <c r="BX9" s="103" t="s">
        <v>32</v>
      </c>
      <c r="BY9" s="84">
        <f t="shared" ref="BY9:BY36" ca="1" si="66">IF(BX9="Out", VALUE($D9), IF(OR(CA$3="", CA$4=""),"", IF(BX9=BX$3, IF(BY$3=CA$3, $B$3, IF(BY$3&gt;CA$3, $B$2, $B$4)),
 IF(BX9=BZ$3, IF(CA$3=BY$3, $B$3, IF(CA$3&gt;BY$3, $B$2, $B$4)),
 IF(BX9=BX$4, IF(BY$4=CA$4, $B$3, IF(BY$4&gt;CA$4, $B$2, $B$4)),
 IF(BX9=BZ$4, IF(CA$4=BY$4, $B$3, IF(CA$4&gt;BY$4, $B$2, $B$4)), ""))))))</f>
        <v>1.5454545454545456</v>
      </c>
      <c r="BZ9" s="41">
        <f ca="1">IF(BX9="Out", $C9)</f>
        <v>0.3636363636363637</v>
      </c>
      <c r="CA9" s="113">
        <f t="shared" ref="CA9:CA36" ca="1" si="67">SUM(BY9,BZ9)</f>
        <v>1.9090909090909094</v>
      </c>
      <c r="CB9" s="103" t="s">
        <v>32</v>
      </c>
      <c r="CC9" s="84">
        <f t="shared" ref="CC9:CC36" ca="1" si="68">IF(CB9="Out", VALUE($D9), IF(OR(CE$3="", CE$4=""),"", IF(CB9=CB$3, IF(CC$3=CE$3, $B$3, IF(CC$3&gt;CE$3, $B$2, $B$4)),
 IF(CB9=CD$3, IF(CE$3=CC$3, $B$3, IF(CE$3&gt;CC$3, $B$2, $B$4)),
 IF(CB9=CB$4, IF(CC$4=CE$4, $B$3, IF(CC$4&gt;CE$4, $B$2, $B$4)),
 IF(CB9=CD$4, IF(CE$4=CC$4, $B$3, IF(CE$4&gt;CC$4, $B$2, $B$4)), ""))))))</f>
        <v>1.5454545454545456</v>
      </c>
      <c r="CD9" s="41">
        <f ca="1">IF(CB9="Out", $C9)</f>
        <v>0.3636363636363637</v>
      </c>
      <c r="CE9" s="113">
        <f t="shared" ref="CE9:CE36" ca="1" si="69">SUM(CC9,CD9)</f>
        <v>1.9090909090909094</v>
      </c>
      <c r="CF9" s="103" t="s">
        <v>32</v>
      </c>
      <c r="CG9" s="84">
        <f t="shared" ref="CG9:CG36" ca="1" si="70">IF(CF9="Out", VALUE($D9), IF(OR(CI$3="", CI$4=""),"", IF(CF9=CF$3, IF(CG$3=CI$3, $B$3, IF(CG$3&gt;CI$3, $B$2, $B$4)),
 IF(CF9=CH$3, IF(CI$3=CG$3, $B$3, IF(CI$3&gt;CG$3, $B$2, $B$4)),
 IF(CF9=CF$4, IF(CG$4=CI$4, $B$3, IF(CG$4&gt;CI$4, $B$2, $B$4)),
 IF(CF9=CH$4, IF(CI$4=CG$4, $B$3, IF(CI$4&gt;CG$4, $B$2, $B$4)), ""))))))</f>
        <v>1.5454545454545456</v>
      </c>
      <c r="CH9" s="41">
        <f ca="1">IF(CF9="Out", $C9)</f>
        <v>0.3636363636363637</v>
      </c>
      <c r="CI9" s="113">
        <f t="shared" ref="CI9:CI36" ca="1" si="71">SUM(CG9,CH9)</f>
        <v>1.9090909090909094</v>
      </c>
      <c r="CJ9" s="152">
        <f t="shared" ref="CJ9:CJ36" ca="1" si="72">SUM(BS9,BW9,CA9,CE9,CI9)</f>
        <v>9.5454545454545467</v>
      </c>
      <c r="CK9" s="1" t="s">
        <v>15</v>
      </c>
      <c r="CL9" s="81">
        <f t="shared" ref="CL9:CL36" si="73">IF(CK9="Out", VALUE($D9), IF(OR(CN$3="", CN$4=""),"", IF(CK9=CK$3, IF(CL$3=CN$3, $B$3, IF(CL$3&gt;CN$3, $B$2, $B$4)),
 IF(CK9=CM$3, IF(CN$3=CL$3, $B$3, IF(CN$3&gt;CL$3, $B$2, $B$4)),
 IF(CK9=CK$4, IF(CL$4=CN$4, $B$3, IF(CL$4&gt;CN$4, $B$2, $B$4)),
 IF(CK9=CM$4, IF(CN$4=CL$4, $B$3, IF(CN$4&gt;CL$4, $B$2, $B$4)), ""))))))</f>
        <v>3</v>
      </c>
      <c r="CM9" s="1">
        <v>0</v>
      </c>
      <c r="CN9" s="112">
        <f t="shared" ref="CN9:CN36" si="74">SUM(CL9,CM9)</f>
        <v>3</v>
      </c>
      <c r="CO9" s="1" t="s">
        <v>15</v>
      </c>
      <c r="CP9" s="81">
        <f t="shared" ref="CP9:CP36" si="75">IF(CO9="Out", VALUE($D9), IF(OR(CR$3="", CR$4=""),"", IF(CO9=CO$3, IF(CP$3=CR$3, $B$3, IF(CP$3&gt;CR$3, $B$2, $B$4)),
 IF(CO9=CQ$3, IF(CR$3=CP$3, $B$3, IF(CR$3&gt;CP$3, $B$2, $B$4)),
 IF(CO9=CO$4, IF(CP$4=CR$4, $B$3, IF(CP$4&gt;CR$4, $B$2, $B$4)),
 IF(CO9=CQ$4, IF(CR$4=CP$4, $B$3, IF(CR$4&gt;CP$4, $B$2, $B$4)), ""))))))</f>
        <v>3</v>
      </c>
      <c r="CQ9" s="1">
        <v>0</v>
      </c>
      <c r="CR9" s="112">
        <f t="shared" ref="CR9:CR36" si="76">SUM(CP9,CQ9)</f>
        <v>3</v>
      </c>
      <c r="CS9" s="1" t="s">
        <v>15</v>
      </c>
      <c r="CT9" s="81">
        <f t="shared" ref="CT9:CT36" si="77">IF(CS9="Out", VALUE($D9), IF(OR(CV$3="", CV$4=""),"", IF(CS9=CS$3, IF(CT$3=CV$3, $B$3, IF(CT$3&gt;CV$3, $B$2, $B$4)),
 IF(CS9=CU$3, IF(CV$3=CT$3, $B$3, IF(CV$3&gt;CT$3, $B$2, $B$4)),
 IF(CS9=CS$4, IF(CT$4=CV$4, $B$3, IF(CT$4&gt;CV$4, $B$2, $B$4)),
 IF(CS9=CU$4, IF(CV$4=CT$4, $B$3, IF(CV$4&gt;CT$4, $B$2, $B$4)), ""))))))</f>
        <v>3</v>
      </c>
      <c r="CU9" s="1">
        <v>0</v>
      </c>
      <c r="CV9" s="112">
        <f t="shared" ref="CV9:CV36" si="78">SUM(CT9,CU9)</f>
        <v>3</v>
      </c>
      <c r="CW9" s="1" t="s">
        <v>14</v>
      </c>
      <c r="CX9" s="81">
        <f t="shared" ref="CX9:CX36" si="79">IF(CW9="Out", VALUE($D9), IF(OR(CZ$3="", CZ$4=""),"", IF(CW9=CW$3, IF(CX$3=CZ$3, $B$3, IF(CX$3&gt;CZ$3, $B$2, $B$4)),
 IF(CW9=CY$3, IF(CZ$3=CX$3, $B$3, IF(CZ$3&gt;CX$3, $B$2, $B$4)),
 IF(CW9=CW$4, IF(CX$4=CZ$4, $B$3, IF(CX$4&gt;CZ$4, $B$2, $B$4)),
 IF(CW9=CY$4, IF(CZ$4=CX$4, $B$3, IF(CZ$4&gt;CX$4, $B$2, $B$4)), ""))))))</f>
        <v>3</v>
      </c>
      <c r="CY9" s="1">
        <v>1</v>
      </c>
      <c r="CZ9" s="112">
        <f t="shared" ref="CZ9:CZ36" si="80">SUM(CX9,CY9)</f>
        <v>4</v>
      </c>
      <c r="DA9" s="1" t="s">
        <v>14</v>
      </c>
      <c r="DB9" s="81">
        <f t="shared" ref="DB9:DB36" si="81">IF(DA9="Out", VALUE($D9), IF(OR(DD$3="", DD$4=""),"", IF(DA9=DA$3, IF(DB$3=DD$3, $B$3, IF(DB$3&gt;DD$3, $B$2, $B$4)),
 IF(DA9=DC$3, IF(DD$3=DB$3, $B$3, IF(DD$3&gt;DB$3, $B$2, $B$4)),
 IF(DA9=DA$4, IF(DB$4=DD$4, $B$3, IF(DB$4&gt;DD$4, $B$2, $B$4)),
 IF(DA9=DC$4, IF(DD$4=DB$4, $B$3, IF(DD$4&gt;DB$4, $B$2, $B$4)), ""))))))</f>
        <v>1</v>
      </c>
      <c r="DC9" s="1">
        <v>0</v>
      </c>
      <c r="DD9" s="112">
        <f t="shared" ref="DD9:DD36" si="82">SUM(DB9,DC9)</f>
        <v>1</v>
      </c>
      <c r="DE9" s="152">
        <f t="shared" ref="DE9:DE36" si="83">SUM(CN9,CR9,CV9,CZ9,DD9)</f>
        <v>14</v>
      </c>
      <c r="DF9" s="1" t="s">
        <v>11</v>
      </c>
      <c r="DG9" s="81">
        <f t="shared" si="4"/>
        <v>0</v>
      </c>
      <c r="DH9" s="1">
        <v>0</v>
      </c>
      <c r="DI9" s="112">
        <f t="shared" si="5"/>
        <v>0</v>
      </c>
      <c r="DJ9" s="1" t="s">
        <v>11</v>
      </c>
      <c r="DK9" s="81">
        <f t="shared" si="6"/>
        <v>3</v>
      </c>
      <c r="DL9" s="1">
        <v>0</v>
      </c>
      <c r="DM9" s="112">
        <f t="shared" si="7"/>
        <v>3</v>
      </c>
      <c r="DN9" s="1" t="s">
        <v>15</v>
      </c>
      <c r="DO9" s="81">
        <f t="shared" si="8"/>
        <v>0</v>
      </c>
      <c r="DP9" s="1">
        <v>0</v>
      </c>
      <c r="DQ9" s="112">
        <f t="shared" si="9"/>
        <v>0</v>
      </c>
      <c r="DR9" s="1" t="s">
        <v>11</v>
      </c>
      <c r="DS9" s="81">
        <f t="shared" si="10"/>
        <v>3</v>
      </c>
      <c r="DT9" s="1">
        <v>1</v>
      </c>
      <c r="DU9" s="112">
        <f t="shared" si="11"/>
        <v>4</v>
      </c>
      <c r="DV9" s="1" t="s">
        <v>12</v>
      </c>
      <c r="DW9" s="81">
        <f t="shared" si="12"/>
        <v>3</v>
      </c>
      <c r="DX9" s="1">
        <v>1</v>
      </c>
      <c r="DY9" s="112">
        <f t="shared" si="13"/>
        <v>4</v>
      </c>
      <c r="DZ9" s="152">
        <f t="shared" ref="DZ9:DZ36" si="84">SUM(DI9,DM9,DQ9,DU9,DY9)</f>
        <v>11</v>
      </c>
      <c r="EA9" s="185" t="s">
        <v>12</v>
      </c>
      <c r="EB9" s="184">
        <f t="shared" si="14"/>
        <v>1</v>
      </c>
      <c r="EC9" s="185">
        <v>0</v>
      </c>
      <c r="ED9" s="112">
        <f t="shared" si="15"/>
        <v>1</v>
      </c>
      <c r="EE9" s="185" t="s">
        <v>11</v>
      </c>
      <c r="EF9" s="184">
        <f t="shared" si="16"/>
        <v>3</v>
      </c>
      <c r="EG9" s="185">
        <v>1</v>
      </c>
      <c r="EH9" s="112">
        <f t="shared" si="17"/>
        <v>4</v>
      </c>
      <c r="EI9" s="185" t="s">
        <v>12</v>
      </c>
      <c r="EJ9" s="184">
        <f t="shared" si="18"/>
        <v>0</v>
      </c>
      <c r="EK9" s="185">
        <v>1</v>
      </c>
      <c r="EL9" s="112">
        <f t="shared" si="19"/>
        <v>1</v>
      </c>
      <c r="EM9" s="185" t="s">
        <v>14</v>
      </c>
      <c r="EN9" s="184">
        <f t="shared" si="20"/>
        <v>1</v>
      </c>
      <c r="EO9" s="185">
        <v>1</v>
      </c>
      <c r="EP9" s="112">
        <f t="shared" si="21"/>
        <v>2</v>
      </c>
      <c r="EQ9" s="185" t="s">
        <v>11</v>
      </c>
      <c r="ER9" s="184">
        <f t="shared" si="22"/>
        <v>0</v>
      </c>
      <c r="ES9" s="185">
        <v>0</v>
      </c>
      <c r="ET9" s="112">
        <f t="shared" si="23"/>
        <v>0</v>
      </c>
      <c r="EU9" s="152">
        <f t="shared" ref="EU9:EU36" si="85">SUM(ED9,EH9,EL9,EP9,ET9)</f>
        <v>8</v>
      </c>
      <c r="EV9" s="1" t="s">
        <v>14</v>
      </c>
      <c r="EW9" s="184">
        <f t="shared" si="24"/>
        <v>1</v>
      </c>
      <c r="EX9" s="1">
        <v>0</v>
      </c>
      <c r="EY9" s="112">
        <f t="shared" si="25"/>
        <v>1</v>
      </c>
      <c r="EZ9" s="1" t="s">
        <v>12</v>
      </c>
      <c r="FA9" s="184">
        <f t="shared" si="26"/>
        <v>0</v>
      </c>
      <c r="FB9" s="1">
        <v>0</v>
      </c>
      <c r="FC9" s="112">
        <f t="shared" si="27"/>
        <v>0</v>
      </c>
      <c r="FD9" s="1" t="s">
        <v>11</v>
      </c>
      <c r="FE9" s="184">
        <f t="shared" si="28"/>
        <v>3</v>
      </c>
      <c r="FF9" s="1">
        <v>2</v>
      </c>
      <c r="FG9" s="112">
        <f t="shared" si="29"/>
        <v>5</v>
      </c>
      <c r="FH9" s="1" t="s">
        <v>15</v>
      </c>
      <c r="FI9" s="184">
        <f t="shared" si="30"/>
        <v>1</v>
      </c>
      <c r="FJ9" s="1">
        <v>2</v>
      </c>
      <c r="FK9" s="112">
        <f t="shared" si="31"/>
        <v>3</v>
      </c>
      <c r="FL9" s="152">
        <f t="shared" ref="FL9:FL36" si="86">SUM(EU9,EY9,FC9,FG9,FK9)</f>
        <v>17</v>
      </c>
    </row>
    <row r="10" spans="1:171" x14ac:dyDescent="0.2">
      <c r="A10" s="3" t="s">
        <v>35</v>
      </c>
      <c r="B10" s="4" t="s">
        <v>36</v>
      </c>
      <c r="C10" s="65">
        <f t="shared" ca="1" si="32"/>
        <v>1.911764705882353</v>
      </c>
      <c r="D10" s="65">
        <f t="shared" ca="1" si="33"/>
        <v>2.0588235294117649</v>
      </c>
      <c r="E10" s="15" t="s">
        <v>12</v>
      </c>
      <c r="F10" s="16">
        <f t="shared" si="0"/>
        <v>3</v>
      </c>
      <c r="G10" s="1">
        <v>0</v>
      </c>
      <c r="H10" s="1">
        <f t="shared" si="34"/>
        <v>3</v>
      </c>
      <c r="I10" s="15" t="s">
        <v>14</v>
      </c>
      <c r="J10" s="16">
        <f t="shared" si="1"/>
        <v>3</v>
      </c>
      <c r="K10" s="78">
        <v>3</v>
      </c>
      <c r="L10" s="1">
        <f t="shared" si="35"/>
        <v>6</v>
      </c>
      <c r="M10" s="15" t="s">
        <v>14</v>
      </c>
      <c r="N10" s="16">
        <f t="shared" si="2"/>
        <v>3</v>
      </c>
      <c r="O10" s="1">
        <v>2</v>
      </c>
      <c r="P10" s="1">
        <f t="shared" si="36"/>
        <v>5</v>
      </c>
      <c r="Q10" s="15" t="s">
        <v>15</v>
      </c>
      <c r="R10" s="16">
        <f t="shared" si="3"/>
        <v>3</v>
      </c>
      <c r="S10" s="1">
        <v>2</v>
      </c>
      <c r="T10" s="1">
        <f t="shared" si="37"/>
        <v>5</v>
      </c>
      <c r="U10" s="15" t="s">
        <v>15</v>
      </c>
      <c r="V10" s="16">
        <f t="shared" si="38"/>
        <v>0</v>
      </c>
      <c r="W10" s="1">
        <v>1</v>
      </c>
      <c r="X10" s="1">
        <f t="shared" si="39"/>
        <v>1</v>
      </c>
      <c r="Y10" s="95">
        <f t="shared" si="40"/>
        <v>20</v>
      </c>
      <c r="Z10" s="28" t="s">
        <v>12</v>
      </c>
      <c r="AA10" s="81">
        <f t="shared" ref="AA10:AA31" si="87">IF(Z10="Out", VALUE($D10), IF(OR(AC$3="", AC$4=""),"", IF(Z10=Z$3, IF(AA$3=AC$3, $B$3, IF(AA$3&gt;AC$3, $B$2, $B$4)),
 IF(Z10=AB$3, IF(AC$3=AA$3, $B$3, IF(AC$3&gt;AA$3, $B$2, $B$4)),
 IF(Z10=Z$4, IF(AA$4=AC$4, $B$3, IF(AA$4&gt;AC$4, $B$2, $B$4)),
 IF(Z10=AB$4, IF(AC$4=AA$4, $B$3, IF(AC$4&gt;AA$4, $B$2, $B$4)), ""))))))</f>
        <v>3</v>
      </c>
      <c r="AB10" s="87">
        <v>3</v>
      </c>
      <c r="AC10" s="78">
        <f t="shared" si="41"/>
        <v>6</v>
      </c>
      <c r="AD10" s="28" t="s">
        <v>11</v>
      </c>
      <c r="AE10" s="16">
        <f t="shared" si="42"/>
        <v>3</v>
      </c>
      <c r="AF10" s="27">
        <v>1</v>
      </c>
      <c r="AG10" s="1">
        <f t="shared" si="43"/>
        <v>4</v>
      </c>
      <c r="AH10" s="28" t="s">
        <v>15</v>
      </c>
      <c r="AI10" s="16">
        <f t="shared" si="44"/>
        <v>3</v>
      </c>
      <c r="AJ10" s="27">
        <v>2</v>
      </c>
      <c r="AK10" s="17">
        <f t="shared" si="45"/>
        <v>5</v>
      </c>
      <c r="AL10" s="27" t="s">
        <v>15</v>
      </c>
      <c r="AM10" s="16">
        <f t="shared" si="46"/>
        <v>1</v>
      </c>
      <c r="AN10" s="27">
        <v>3</v>
      </c>
      <c r="AO10" s="1">
        <f t="shared" si="47"/>
        <v>4</v>
      </c>
      <c r="AP10" s="28" t="s">
        <v>12</v>
      </c>
      <c r="AQ10" s="16">
        <f t="shared" si="48"/>
        <v>3</v>
      </c>
      <c r="AR10" s="27">
        <v>3</v>
      </c>
      <c r="AS10" s="1">
        <f t="shared" si="49"/>
        <v>6</v>
      </c>
      <c r="AT10" s="95">
        <f t="shared" si="50"/>
        <v>25</v>
      </c>
      <c r="AU10" s="98" t="s">
        <v>11</v>
      </c>
      <c r="AV10" s="81">
        <f t="shared" si="51"/>
        <v>0</v>
      </c>
      <c r="AW10" s="1">
        <v>0</v>
      </c>
      <c r="AX10" s="112">
        <f t="shared" si="52"/>
        <v>0</v>
      </c>
      <c r="AY10" s="1" t="s">
        <v>11</v>
      </c>
      <c r="AZ10" s="81">
        <f t="shared" si="53"/>
        <v>1</v>
      </c>
      <c r="BA10" s="1">
        <v>3</v>
      </c>
      <c r="BB10" s="112">
        <f t="shared" si="54"/>
        <v>4</v>
      </c>
      <c r="BC10" s="1" t="s">
        <v>11</v>
      </c>
      <c r="BD10" s="81">
        <f t="shared" si="55"/>
        <v>3</v>
      </c>
      <c r="BE10" s="1">
        <v>3</v>
      </c>
      <c r="BF10" s="78">
        <f t="shared" si="56"/>
        <v>6</v>
      </c>
      <c r="BG10" s="98" t="s">
        <v>15</v>
      </c>
      <c r="BH10" s="81">
        <f t="shared" si="57"/>
        <v>0</v>
      </c>
      <c r="BI10" s="1">
        <v>1</v>
      </c>
      <c r="BJ10" s="78">
        <f t="shared" si="58"/>
        <v>1</v>
      </c>
      <c r="BK10" s="98" t="s">
        <v>14</v>
      </c>
      <c r="BL10" s="81">
        <f t="shared" si="59"/>
        <v>0</v>
      </c>
      <c r="BM10" s="1">
        <v>1</v>
      </c>
      <c r="BN10" s="78">
        <f t="shared" si="60"/>
        <v>1</v>
      </c>
      <c r="BO10" s="95">
        <f t="shared" si="61"/>
        <v>12</v>
      </c>
      <c r="BP10" s="98" t="s">
        <v>14</v>
      </c>
      <c r="BQ10" s="81">
        <f t="shared" si="62"/>
        <v>3</v>
      </c>
      <c r="BR10" s="1">
        <v>3</v>
      </c>
      <c r="BS10" s="112">
        <f t="shared" si="63"/>
        <v>6</v>
      </c>
      <c r="BT10" s="98" t="s">
        <v>11</v>
      </c>
      <c r="BU10" s="81">
        <f t="shared" si="64"/>
        <v>3</v>
      </c>
      <c r="BV10" s="1">
        <v>0</v>
      </c>
      <c r="BW10" s="112">
        <f t="shared" si="65"/>
        <v>3</v>
      </c>
      <c r="BX10" s="98" t="s">
        <v>12</v>
      </c>
      <c r="BY10" s="81">
        <f t="shared" si="66"/>
        <v>3</v>
      </c>
      <c r="BZ10" s="1">
        <v>3</v>
      </c>
      <c r="CA10" s="112">
        <f t="shared" si="67"/>
        <v>6</v>
      </c>
      <c r="CB10" s="98" t="s">
        <v>11</v>
      </c>
      <c r="CC10" s="81">
        <f t="shared" si="68"/>
        <v>3</v>
      </c>
      <c r="CD10" s="1">
        <v>3</v>
      </c>
      <c r="CE10" s="112">
        <f t="shared" si="69"/>
        <v>6</v>
      </c>
      <c r="CF10" s="98" t="s">
        <v>12</v>
      </c>
      <c r="CG10" s="81">
        <f t="shared" si="70"/>
        <v>0</v>
      </c>
      <c r="CH10" s="1">
        <v>2</v>
      </c>
      <c r="CI10" s="112">
        <f t="shared" si="71"/>
        <v>2</v>
      </c>
      <c r="CJ10" s="152">
        <f t="shared" si="72"/>
        <v>23</v>
      </c>
      <c r="CK10" s="42" t="s">
        <v>32</v>
      </c>
      <c r="CL10" s="84">
        <f t="shared" ca="1" si="73"/>
        <v>2.0588235294117649</v>
      </c>
      <c r="CM10" s="41">
        <f ca="1">IF(CK10="Out", $C10)</f>
        <v>1.911764705882353</v>
      </c>
      <c r="CN10" s="113">
        <f t="shared" ca="1" si="74"/>
        <v>3.9705882352941178</v>
      </c>
      <c r="CO10" s="42" t="s">
        <v>32</v>
      </c>
      <c r="CP10" s="84">
        <f t="shared" ca="1" si="75"/>
        <v>2.0588235294117649</v>
      </c>
      <c r="CQ10" s="41">
        <f ca="1">IF(CO10="Out", $C10)</f>
        <v>1.911764705882353</v>
      </c>
      <c r="CR10" s="113">
        <f t="shared" ca="1" si="76"/>
        <v>3.9705882352941178</v>
      </c>
      <c r="CS10" s="42" t="s">
        <v>32</v>
      </c>
      <c r="CT10" s="84">
        <f t="shared" ca="1" si="77"/>
        <v>2.0588235294117649</v>
      </c>
      <c r="CU10" s="41">
        <f ca="1">IF(CS10="Out", $C10)</f>
        <v>1.911764705882353</v>
      </c>
      <c r="CV10" s="113">
        <f t="shared" ca="1" si="78"/>
        <v>3.9705882352941178</v>
      </c>
      <c r="CW10" s="42" t="s">
        <v>32</v>
      </c>
      <c r="CX10" s="84">
        <f t="shared" ca="1" si="79"/>
        <v>2.0588235294117649</v>
      </c>
      <c r="CY10" s="41">
        <f ca="1">IF(CW10="Out", $C10)</f>
        <v>1.911764705882353</v>
      </c>
      <c r="CZ10" s="113">
        <f t="shared" ca="1" si="80"/>
        <v>3.9705882352941178</v>
      </c>
      <c r="DA10" s="42" t="s">
        <v>32</v>
      </c>
      <c r="DB10" s="84">
        <f t="shared" ca="1" si="81"/>
        <v>2.0588235294117649</v>
      </c>
      <c r="DC10" s="41">
        <f ca="1">IF(DA10="Out", $C10)</f>
        <v>1.911764705882353</v>
      </c>
      <c r="DD10" s="113">
        <f t="shared" ca="1" si="82"/>
        <v>3.9705882352941178</v>
      </c>
      <c r="DE10" s="152">
        <f t="shared" ca="1" si="83"/>
        <v>19.852941176470587</v>
      </c>
      <c r="DF10" s="1" t="s">
        <v>14</v>
      </c>
      <c r="DG10" s="81">
        <f t="shared" si="4"/>
        <v>0</v>
      </c>
      <c r="DH10" s="1">
        <v>1</v>
      </c>
      <c r="DI10" s="112">
        <f t="shared" si="5"/>
        <v>1</v>
      </c>
      <c r="DJ10" s="1" t="s">
        <v>11</v>
      </c>
      <c r="DK10" s="81">
        <f t="shared" si="6"/>
        <v>3</v>
      </c>
      <c r="DL10" s="1">
        <v>4</v>
      </c>
      <c r="DM10" s="112">
        <f t="shared" si="7"/>
        <v>7</v>
      </c>
      <c r="DN10" s="1" t="s">
        <v>14</v>
      </c>
      <c r="DO10" s="81">
        <f t="shared" si="8"/>
        <v>3</v>
      </c>
      <c r="DP10" s="1">
        <v>2</v>
      </c>
      <c r="DQ10" s="112">
        <f t="shared" si="9"/>
        <v>5</v>
      </c>
      <c r="DR10" s="1" t="s">
        <v>11</v>
      </c>
      <c r="DS10" s="81">
        <f t="shared" si="10"/>
        <v>3</v>
      </c>
      <c r="DT10" s="1">
        <v>4</v>
      </c>
      <c r="DU10" s="112">
        <f t="shared" si="11"/>
        <v>7</v>
      </c>
      <c r="DV10" s="1" t="s">
        <v>12</v>
      </c>
      <c r="DW10" s="81">
        <f t="shared" si="12"/>
        <v>3</v>
      </c>
      <c r="DX10" s="1">
        <v>2</v>
      </c>
      <c r="DY10" s="112">
        <f t="shared" si="13"/>
        <v>5</v>
      </c>
      <c r="DZ10" s="152">
        <f t="shared" si="84"/>
        <v>25</v>
      </c>
      <c r="EA10" s="185" t="s">
        <v>14</v>
      </c>
      <c r="EB10" s="184">
        <f t="shared" si="14"/>
        <v>1</v>
      </c>
      <c r="EC10" s="185">
        <v>2</v>
      </c>
      <c r="ED10" s="112">
        <f t="shared" si="15"/>
        <v>3</v>
      </c>
      <c r="EE10" s="185" t="s">
        <v>11</v>
      </c>
      <c r="EF10" s="184">
        <f t="shared" si="16"/>
        <v>3</v>
      </c>
      <c r="EG10" s="185">
        <v>1</v>
      </c>
      <c r="EH10" s="112">
        <f t="shared" si="17"/>
        <v>4</v>
      </c>
      <c r="EI10" s="185" t="s">
        <v>15</v>
      </c>
      <c r="EJ10" s="184">
        <f t="shared" si="18"/>
        <v>3</v>
      </c>
      <c r="EK10" s="185">
        <v>1</v>
      </c>
      <c r="EL10" s="112">
        <f t="shared" si="19"/>
        <v>4</v>
      </c>
      <c r="EM10" s="185" t="s">
        <v>12</v>
      </c>
      <c r="EN10" s="184">
        <f t="shared" si="20"/>
        <v>3</v>
      </c>
      <c r="EO10" s="185">
        <v>3</v>
      </c>
      <c r="EP10" s="112">
        <f t="shared" si="21"/>
        <v>6</v>
      </c>
      <c r="EQ10" s="185" t="s">
        <v>12</v>
      </c>
      <c r="ER10" s="184">
        <f t="shared" si="22"/>
        <v>3</v>
      </c>
      <c r="ES10" s="185">
        <v>0</v>
      </c>
      <c r="ET10" s="112">
        <f t="shared" si="23"/>
        <v>3</v>
      </c>
      <c r="EU10" s="152">
        <f t="shared" si="85"/>
        <v>20</v>
      </c>
      <c r="EV10" s="1" t="s">
        <v>11</v>
      </c>
      <c r="EW10" s="184">
        <f t="shared" si="24"/>
        <v>0</v>
      </c>
      <c r="EX10" s="1">
        <v>0</v>
      </c>
      <c r="EY10" s="112">
        <f t="shared" si="25"/>
        <v>0</v>
      </c>
      <c r="EZ10" s="1" t="s">
        <v>15</v>
      </c>
      <c r="FA10" s="184">
        <f t="shared" si="26"/>
        <v>3</v>
      </c>
      <c r="FB10" s="1">
        <v>0</v>
      </c>
      <c r="FC10" s="112">
        <f t="shared" si="27"/>
        <v>3</v>
      </c>
      <c r="FD10" s="1" t="s">
        <v>14</v>
      </c>
      <c r="FE10" s="184">
        <f t="shared" si="28"/>
        <v>0</v>
      </c>
      <c r="FF10" s="1">
        <v>1</v>
      </c>
      <c r="FG10" s="112">
        <f t="shared" si="29"/>
        <v>1</v>
      </c>
      <c r="FH10" s="1" t="s">
        <v>15</v>
      </c>
      <c r="FI10" s="184">
        <f t="shared" si="30"/>
        <v>1</v>
      </c>
      <c r="FJ10" s="1">
        <v>5</v>
      </c>
      <c r="FK10" s="112">
        <f t="shared" si="31"/>
        <v>6</v>
      </c>
      <c r="FL10" s="152">
        <f t="shared" si="86"/>
        <v>30</v>
      </c>
    </row>
    <row r="11" spans="1:171" x14ac:dyDescent="0.2">
      <c r="A11" s="3" t="s">
        <v>37</v>
      </c>
      <c r="B11" s="4" t="s">
        <v>38</v>
      </c>
      <c r="C11" s="65">
        <f t="shared" si="32"/>
        <v>0.20512820512820512</v>
      </c>
      <c r="D11" s="65">
        <f t="shared" si="33"/>
        <v>1.1538461538461537</v>
      </c>
      <c r="E11" s="15" t="s">
        <v>11</v>
      </c>
      <c r="F11" s="16">
        <f t="shared" si="0"/>
        <v>0</v>
      </c>
      <c r="G11" s="1">
        <v>0</v>
      </c>
      <c r="H11" s="1">
        <f t="shared" si="34"/>
        <v>0</v>
      </c>
      <c r="I11" s="15" t="s">
        <v>15</v>
      </c>
      <c r="J11" s="16">
        <f t="shared" si="1"/>
        <v>0</v>
      </c>
      <c r="K11" s="78">
        <v>0</v>
      </c>
      <c r="L11" s="1">
        <f t="shared" si="35"/>
        <v>0</v>
      </c>
      <c r="M11" s="15" t="s">
        <v>12</v>
      </c>
      <c r="N11" s="16">
        <f t="shared" si="2"/>
        <v>3</v>
      </c>
      <c r="O11" s="1">
        <v>0</v>
      </c>
      <c r="P11" s="1">
        <f t="shared" si="36"/>
        <v>3</v>
      </c>
      <c r="Q11" s="15" t="s">
        <v>14</v>
      </c>
      <c r="R11" s="16">
        <f t="shared" si="3"/>
        <v>0</v>
      </c>
      <c r="S11" s="1">
        <v>0</v>
      </c>
      <c r="T11" s="1">
        <f t="shared" si="37"/>
        <v>0</v>
      </c>
      <c r="U11" s="15" t="s">
        <v>11</v>
      </c>
      <c r="V11" s="16">
        <f t="shared" si="38"/>
        <v>3</v>
      </c>
      <c r="W11" s="1">
        <v>1</v>
      </c>
      <c r="X11" s="1">
        <f t="shared" si="39"/>
        <v>4</v>
      </c>
      <c r="Y11" s="95">
        <f t="shared" si="40"/>
        <v>7</v>
      </c>
      <c r="Z11" s="28" t="s">
        <v>11</v>
      </c>
      <c r="AA11" s="81">
        <f t="shared" si="87"/>
        <v>0</v>
      </c>
      <c r="AB11" s="87">
        <v>0</v>
      </c>
      <c r="AC11" s="78">
        <f t="shared" si="41"/>
        <v>0</v>
      </c>
      <c r="AD11" s="28" t="s">
        <v>11</v>
      </c>
      <c r="AE11" s="16">
        <f t="shared" si="42"/>
        <v>3</v>
      </c>
      <c r="AF11" s="27">
        <v>0</v>
      </c>
      <c r="AG11" s="1">
        <f t="shared" si="43"/>
        <v>3</v>
      </c>
      <c r="AH11" s="28" t="s">
        <v>12</v>
      </c>
      <c r="AI11" s="16">
        <f t="shared" si="44"/>
        <v>1</v>
      </c>
      <c r="AJ11" s="27">
        <v>0</v>
      </c>
      <c r="AK11" s="17">
        <f t="shared" si="45"/>
        <v>1</v>
      </c>
      <c r="AL11" s="27" t="s">
        <v>12</v>
      </c>
      <c r="AM11" s="16">
        <f t="shared" si="46"/>
        <v>0</v>
      </c>
      <c r="AN11" s="27">
        <v>0</v>
      </c>
      <c r="AO11" s="1">
        <f t="shared" si="47"/>
        <v>0</v>
      </c>
      <c r="AP11" s="28" t="s">
        <v>15</v>
      </c>
      <c r="AQ11" s="16">
        <f t="shared" si="48"/>
        <v>0</v>
      </c>
      <c r="AR11" s="27">
        <v>0</v>
      </c>
      <c r="AS11" s="1">
        <f t="shared" si="49"/>
        <v>0</v>
      </c>
      <c r="AT11" s="95">
        <f t="shared" si="50"/>
        <v>4</v>
      </c>
      <c r="AU11" s="98" t="s">
        <v>11</v>
      </c>
      <c r="AV11" s="81">
        <f t="shared" si="51"/>
        <v>0</v>
      </c>
      <c r="AW11" s="1">
        <v>0</v>
      </c>
      <c r="AX11" s="112">
        <f t="shared" si="52"/>
        <v>0</v>
      </c>
      <c r="AY11" s="1" t="s">
        <v>12</v>
      </c>
      <c r="AZ11" s="81">
        <f t="shared" si="53"/>
        <v>1</v>
      </c>
      <c r="BA11" s="1">
        <v>2</v>
      </c>
      <c r="BB11" s="112">
        <f t="shared" si="54"/>
        <v>3</v>
      </c>
      <c r="BC11" s="1" t="s">
        <v>12</v>
      </c>
      <c r="BD11" s="81">
        <f t="shared" si="55"/>
        <v>0</v>
      </c>
      <c r="BE11" s="1">
        <v>0</v>
      </c>
      <c r="BF11" s="78">
        <f t="shared" si="56"/>
        <v>0</v>
      </c>
      <c r="BG11" s="98" t="s">
        <v>12</v>
      </c>
      <c r="BH11" s="81">
        <f t="shared" si="57"/>
        <v>0</v>
      </c>
      <c r="BI11" s="1">
        <v>2</v>
      </c>
      <c r="BJ11" s="78">
        <f t="shared" si="58"/>
        <v>2</v>
      </c>
      <c r="BK11" s="98" t="s">
        <v>12</v>
      </c>
      <c r="BL11" s="81">
        <f t="shared" si="59"/>
        <v>0</v>
      </c>
      <c r="BM11" s="1">
        <v>0</v>
      </c>
      <c r="BN11" s="78">
        <f t="shared" si="60"/>
        <v>0</v>
      </c>
      <c r="BO11" s="95">
        <f t="shared" si="61"/>
        <v>5</v>
      </c>
      <c r="BP11" s="98" t="s">
        <v>15</v>
      </c>
      <c r="BQ11" s="81">
        <f t="shared" si="62"/>
        <v>0</v>
      </c>
      <c r="BR11" s="1">
        <v>0</v>
      </c>
      <c r="BS11" s="112">
        <f t="shared" si="63"/>
        <v>0</v>
      </c>
      <c r="BT11" s="98" t="s">
        <v>15</v>
      </c>
      <c r="BU11" s="81">
        <f t="shared" si="64"/>
        <v>0</v>
      </c>
      <c r="BV11" s="1">
        <v>0</v>
      </c>
      <c r="BW11" s="112">
        <f t="shared" si="65"/>
        <v>0</v>
      </c>
      <c r="BX11" s="98" t="s">
        <v>11</v>
      </c>
      <c r="BY11" s="81">
        <f t="shared" si="66"/>
        <v>0</v>
      </c>
      <c r="BZ11" s="1">
        <v>1</v>
      </c>
      <c r="CA11" s="112">
        <f t="shared" si="67"/>
        <v>1</v>
      </c>
      <c r="CB11" s="98" t="s">
        <v>12</v>
      </c>
      <c r="CC11" s="81">
        <f t="shared" si="68"/>
        <v>0</v>
      </c>
      <c r="CD11" s="1">
        <v>1</v>
      </c>
      <c r="CE11" s="112">
        <f t="shared" si="69"/>
        <v>1</v>
      </c>
      <c r="CF11" s="98" t="s">
        <v>15</v>
      </c>
      <c r="CG11" s="81">
        <f t="shared" si="70"/>
        <v>3</v>
      </c>
      <c r="CH11" s="1">
        <v>0</v>
      </c>
      <c r="CI11" s="112">
        <f t="shared" si="71"/>
        <v>3</v>
      </c>
      <c r="CJ11" s="152">
        <f t="shared" si="72"/>
        <v>5</v>
      </c>
      <c r="CK11" s="1" t="s">
        <v>14</v>
      </c>
      <c r="CL11" s="81">
        <f t="shared" si="73"/>
        <v>0</v>
      </c>
      <c r="CM11" s="1">
        <v>0</v>
      </c>
      <c r="CN11" s="112">
        <f t="shared" si="74"/>
        <v>0</v>
      </c>
      <c r="CO11" s="1" t="s">
        <v>15</v>
      </c>
      <c r="CP11" s="81">
        <f t="shared" si="75"/>
        <v>3</v>
      </c>
      <c r="CQ11" s="1">
        <v>0</v>
      </c>
      <c r="CR11" s="112">
        <f t="shared" si="76"/>
        <v>3</v>
      </c>
      <c r="CS11" s="1" t="s">
        <v>15</v>
      </c>
      <c r="CT11" s="81">
        <f t="shared" si="77"/>
        <v>3</v>
      </c>
      <c r="CU11" s="1">
        <v>0</v>
      </c>
      <c r="CV11" s="112">
        <f t="shared" si="78"/>
        <v>3</v>
      </c>
      <c r="CW11" s="1" t="s">
        <v>11</v>
      </c>
      <c r="CX11" s="81">
        <f t="shared" si="79"/>
        <v>3</v>
      </c>
      <c r="CY11" s="1">
        <v>0</v>
      </c>
      <c r="CZ11" s="112">
        <f t="shared" si="80"/>
        <v>3</v>
      </c>
      <c r="DA11" s="1" t="s">
        <v>12</v>
      </c>
      <c r="DB11" s="81">
        <f t="shared" si="81"/>
        <v>0</v>
      </c>
      <c r="DC11" s="1">
        <v>1</v>
      </c>
      <c r="DD11" s="112">
        <f t="shared" si="82"/>
        <v>1</v>
      </c>
      <c r="DE11" s="152">
        <f t="shared" si="83"/>
        <v>10</v>
      </c>
      <c r="DF11" s="1" t="s">
        <v>12</v>
      </c>
      <c r="DG11" s="81">
        <f t="shared" si="4"/>
        <v>3</v>
      </c>
      <c r="DH11" s="1">
        <v>0</v>
      </c>
      <c r="DI11" s="112">
        <f t="shared" si="5"/>
        <v>3</v>
      </c>
      <c r="DJ11" s="1" t="s">
        <v>15</v>
      </c>
      <c r="DK11" s="81">
        <f t="shared" si="6"/>
        <v>3</v>
      </c>
      <c r="DL11" s="1">
        <v>0</v>
      </c>
      <c r="DM11" s="112">
        <f t="shared" si="7"/>
        <v>3</v>
      </c>
      <c r="DN11" s="1" t="s">
        <v>12</v>
      </c>
      <c r="DO11" s="81">
        <f t="shared" si="8"/>
        <v>0</v>
      </c>
      <c r="DP11" s="1">
        <v>0</v>
      </c>
      <c r="DQ11" s="112">
        <f t="shared" si="9"/>
        <v>0</v>
      </c>
      <c r="DR11" s="1" t="s">
        <v>11</v>
      </c>
      <c r="DS11" s="81">
        <f t="shared" si="10"/>
        <v>3</v>
      </c>
      <c r="DT11" s="1">
        <v>0</v>
      </c>
      <c r="DU11" s="112">
        <f t="shared" si="11"/>
        <v>3</v>
      </c>
      <c r="DV11" s="1" t="s">
        <v>11</v>
      </c>
      <c r="DW11" s="81">
        <f t="shared" si="12"/>
        <v>0</v>
      </c>
      <c r="DX11" s="1">
        <v>0</v>
      </c>
      <c r="DY11" s="112">
        <f t="shared" si="13"/>
        <v>0</v>
      </c>
      <c r="DZ11" s="152">
        <f t="shared" si="84"/>
        <v>9</v>
      </c>
      <c r="EA11" s="185" t="s">
        <v>14</v>
      </c>
      <c r="EB11" s="184">
        <f t="shared" si="14"/>
        <v>1</v>
      </c>
      <c r="EC11" s="185">
        <v>0</v>
      </c>
      <c r="ED11" s="112">
        <f t="shared" si="15"/>
        <v>1</v>
      </c>
      <c r="EE11" s="185" t="s">
        <v>12</v>
      </c>
      <c r="EF11" s="184">
        <f t="shared" si="16"/>
        <v>0</v>
      </c>
      <c r="EG11" s="185">
        <v>0</v>
      </c>
      <c r="EH11" s="112">
        <f t="shared" si="17"/>
        <v>0</v>
      </c>
      <c r="EI11" s="185" t="s">
        <v>14</v>
      </c>
      <c r="EJ11" s="184">
        <f t="shared" si="18"/>
        <v>0</v>
      </c>
      <c r="EK11" s="185">
        <v>0</v>
      </c>
      <c r="EL11" s="112">
        <f t="shared" si="19"/>
        <v>0</v>
      </c>
      <c r="EM11" s="185" t="s">
        <v>11</v>
      </c>
      <c r="EN11" s="184">
        <f t="shared" si="20"/>
        <v>0</v>
      </c>
      <c r="EO11" s="185">
        <v>0</v>
      </c>
      <c r="EP11" s="112">
        <f t="shared" si="21"/>
        <v>0</v>
      </c>
      <c r="EQ11" s="185" t="s">
        <v>15</v>
      </c>
      <c r="ER11" s="184">
        <f t="shared" si="22"/>
        <v>3</v>
      </c>
      <c r="ES11" s="185">
        <v>0</v>
      </c>
      <c r="ET11" s="112">
        <f t="shared" si="23"/>
        <v>3</v>
      </c>
      <c r="EU11" s="152">
        <f t="shared" si="85"/>
        <v>4</v>
      </c>
      <c r="EV11" s="1" t="s">
        <v>12</v>
      </c>
      <c r="EW11" s="184">
        <f t="shared" si="24"/>
        <v>3</v>
      </c>
      <c r="EX11" s="1">
        <v>0</v>
      </c>
      <c r="EY11" s="112">
        <f t="shared" si="25"/>
        <v>3</v>
      </c>
      <c r="EZ11" s="1" t="s">
        <v>11</v>
      </c>
      <c r="FA11" s="184">
        <f t="shared" si="26"/>
        <v>3</v>
      </c>
      <c r="FB11" s="1">
        <v>0</v>
      </c>
      <c r="FC11" s="112">
        <f t="shared" si="27"/>
        <v>3</v>
      </c>
      <c r="FD11" s="1" t="s">
        <v>12</v>
      </c>
      <c r="FE11" s="184">
        <f t="shared" si="28"/>
        <v>0</v>
      </c>
      <c r="FF11" s="1">
        <v>0</v>
      </c>
      <c r="FG11" s="112">
        <f t="shared" si="29"/>
        <v>0</v>
      </c>
      <c r="FH11" s="1" t="s">
        <v>12</v>
      </c>
      <c r="FI11" s="184">
        <f t="shared" si="30"/>
        <v>3</v>
      </c>
      <c r="FJ11" s="1">
        <v>0</v>
      </c>
      <c r="FK11" s="112">
        <f t="shared" si="31"/>
        <v>3</v>
      </c>
      <c r="FL11" s="152">
        <f t="shared" si="86"/>
        <v>13</v>
      </c>
    </row>
    <row r="12" spans="1:171" x14ac:dyDescent="0.2">
      <c r="A12" s="3" t="s">
        <v>39</v>
      </c>
      <c r="B12" s="4" t="s">
        <v>40</v>
      </c>
      <c r="C12" s="65">
        <f t="shared" ca="1" si="32"/>
        <v>1.0967741935483866</v>
      </c>
      <c r="D12" s="65">
        <f t="shared" ca="1" si="33"/>
        <v>1.7000000000000006</v>
      </c>
      <c r="E12" s="15" t="s">
        <v>15</v>
      </c>
      <c r="F12" s="16">
        <f t="shared" si="0"/>
        <v>0</v>
      </c>
      <c r="G12" s="1">
        <v>0</v>
      </c>
      <c r="H12" s="1">
        <f t="shared" si="34"/>
        <v>0</v>
      </c>
      <c r="I12" s="15" t="s">
        <v>11</v>
      </c>
      <c r="J12" s="16">
        <f t="shared" si="1"/>
        <v>0</v>
      </c>
      <c r="K12" s="78">
        <v>0</v>
      </c>
      <c r="L12" s="1">
        <f t="shared" si="35"/>
        <v>0</v>
      </c>
      <c r="M12" s="15" t="s">
        <v>14</v>
      </c>
      <c r="N12" s="16">
        <f t="shared" si="2"/>
        <v>3</v>
      </c>
      <c r="O12" s="1">
        <v>1</v>
      </c>
      <c r="P12" s="1">
        <f t="shared" si="36"/>
        <v>4</v>
      </c>
      <c r="Q12" s="15" t="s">
        <v>14</v>
      </c>
      <c r="R12" s="16">
        <f t="shared" si="3"/>
        <v>0</v>
      </c>
      <c r="S12" s="1">
        <v>1</v>
      </c>
      <c r="T12" s="1">
        <f t="shared" si="37"/>
        <v>1</v>
      </c>
      <c r="U12" s="15" t="s">
        <v>11</v>
      </c>
      <c r="V12" s="16">
        <f t="shared" si="38"/>
        <v>3</v>
      </c>
      <c r="W12" s="1">
        <v>1</v>
      </c>
      <c r="X12" s="1">
        <f t="shared" si="39"/>
        <v>4</v>
      </c>
      <c r="Y12" s="95">
        <f t="shared" si="40"/>
        <v>9</v>
      </c>
      <c r="Z12" s="28" t="s">
        <v>11</v>
      </c>
      <c r="AA12" s="81">
        <f t="shared" si="87"/>
        <v>0</v>
      </c>
      <c r="AB12" s="87">
        <v>1</v>
      </c>
      <c r="AC12" s="78">
        <f t="shared" si="41"/>
        <v>1</v>
      </c>
      <c r="AD12" s="28" t="s">
        <v>12</v>
      </c>
      <c r="AE12" s="16">
        <f t="shared" si="42"/>
        <v>0</v>
      </c>
      <c r="AF12" s="27">
        <v>0</v>
      </c>
      <c r="AG12" s="1">
        <f t="shared" si="43"/>
        <v>0</v>
      </c>
      <c r="AH12" s="28" t="s">
        <v>11</v>
      </c>
      <c r="AI12" s="16">
        <f t="shared" si="44"/>
        <v>1</v>
      </c>
      <c r="AJ12" s="27">
        <v>0</v>
      </c>
      <c r="AK12" s="17">
        <f t="shared" si="45"/>
        <v>1</v>
      </c>
      <c r="AL12" s="27" t="s">
        <v>11</v>
      </c>
      <c r="AM12" s="16">
        <f t="shared" si="46"/>
        <v>3</v>
      </c>
      <c r="AN12" s="27">
        <v>0</v>
      </c>
      <c r="AO12" s="1">
        <f t="shared" si="47"/>
        <v>3</v>
      </c>
      <c r="AP12" s="28" t="s">
        <v>12</v>
      </c>
      <c r="AQ12" s="16">
        <f t="shared" si="48"/>
        <v>3</v>
      </c>
      <c r="AR12" s="27">
        <v>3</v>
      </c>
      <c r="AS12" s="1">
        <f t="shared" si="49"/>
        <v>6</v>
      </c>
      <c r="AT12" s="95">
        <f t="shared" si="50"/>
        <v>11</v>
      </c>
      <c r="AU12" s="98" t="s">
        <v>14</v>
      </c>
      <c r="AV12" s="81">
        <f t="shared" si="51"/>
        <v>3</v>
      </c>
      <c r="AW12" s="1">
        <v>0</v>
      </c>
      <c r="AX12" s="112">
        <f t="shared" si="52"/>
        <v>3</v>
      </c>
      <c r="AY12" s="1" t="s">
        <v>11</v>
      </c>
      <c r="AZ12" s="81">
        <f t="shared" si="53"/>
        <v>1</v>
      </c>
      <c r="BA12" s="1">
        <v>2</v>
      </c>
      <c r="BB12" s="112">
        <f t="shared" si="54"/>
        <v>3</v>
      </c>
      <c r="BC12" s="1" t="s">
        <v>12</v>
      </c>
      <c r="BD12" s="81">
        <f t="shared" si="55"/>
        <v>0</v>
      </c>
      <c r="BE12" s="1">
        <v>1</v>
      </c>
      <c r="BF12" s="78">
        <f t="shared" si="56"/>
        <v>1</v>
      </c>
      <c r="BG12" s="98" t="s">
        <v>14</v>
      </c>
      <c r="BH12" s="81">
        <f t="shared" si="57"/>
        <v>3</v>
      </c>
      <c r="BI12" s="1">
        <v>2</v>
      </c>
      <c r="BJ12" s="78">
        <f t="shared" si="58"/>
        <v>5</v>
      </c>
      <c r="BK12" s="98" t="s">
        <v>11</v>
      </c>
      <c r="BL12" s="81">
        <f t="shared" si="59"/>
        <v>3</v>
      </c>
      <c r="BM12" s="1">
        <v>3</v>
      </c>
      <c r="BN12" s="78">
        <f t="shared" si="60"/>
        <v>6</v>
      </c>
      <c r="BO12" s="95">
        <f t="shared" si="61"/>
        <v>18</v>
      </c>
      <c r="BP12" s="98" t="s">
        <v>11</v>
      </c>
      <c r="BQ12" s="81">
        <f t="shared" si="62"/>
        <v>0</v>
      </c>
      <c r="BR12" s="1">
        <v>2</v>
      </c>
      <c r="BS12" s="112">
        <f t="shared" si="63"/>
        <v>2</v>
      </c>
      <c r="BT12" s="98" t="s">
        <v>14</v>
      </c>
      <c r="BU12" s="81">
        <f t="shared" si="64"/>
        <v>3</v>
      </c>
      <c r="BV12" s="1">
        <v>2</v>
      </c>
      <c r="BW12" s="112">
        <f t="shared" si="65"/>
        <v>5</v>
      </c>
      <c r="BX12" s="98" t="s">
        <v>12</v>
      </c>
      <c r="BY12" s="81">
        <f t="shared" si="66"/>
        <v>3</v>
      </c>
      <c r="BZ12" s="1">
        <v>2</v>
      </c>
      <c r="CA12" s="112">
        <f t="shared" si="67"/>
        <v>5</v>
      </c>
      <c r="CB12" s="98" t="s">
        <v>15</v>
      </c>
      <c r="CC12" s="81">
        <f t="shared" si="68"/>
        <v>3</v>
      </c>
      <c r="CD12" s="1">
        <v>3</v>
      </c>
      <c r="CE12" s="112">
        <f t="shared" si="69"/>
        <v>6</v>
      </c>
      <c r="CF12" s="98" t="s">
        <v>15</v>
      </c>
      <c r="CG12" s="81">
        <f t="shared" si="70"/>
        <v>3</v>
      </c>
      <c r="CH12" s="1">
        <v>0</v>
      </c>
      <c r="CI12" s="112">
        <f t="shared" si="71"/>
        <v>3</v>
      </c>
      <c r="CJ12" s="152">
        <f t="shared" si="72"/>
        <v>21</v>
      </c>
      <c r="CK12" s="1" t="s">
        <v>15</v>
      </c>
      <c r="CL12" s="81">
        <f t="shared" si="73"/>
        <v>3</v>
      </c>
      <c r="CM12" s="1">
        <v>2</v>
      </c>
      <c r="CN12" s="112">
        <f t="shared" si="74"/>
        <v>5</v>
      </c>
      <c r="CO12" s="1" t="s">
        <v>15</v>
      </c>
      <c r="CP12" s="81">
        <f t="shared" si="75"/>
        <v>3</v>
      </c>
      <c r="CQ12" s="1">
        <v>1</v>
      </c>
      <c r="CR12" s="112">
        <f t="shared" si="76"/>
        <v>4</v>
      </c>
      <c r="CS12" s="1" t="s">
        <v>12</v>
      </c>
      <c r="CT12" s="81">
        <f t="shared" si="77"/>
        <v>1</v>
      </c>
      <c r="CU12" s="1">
        <v>1</v>
      </c>
      <c r="CV12" s="112">
        <f t="shared" si="78"/>
        <v>2</v>
      </c>
      <c r="CW12" s="1" t="s">
        <v>11</v>
      </c>
      <c r="CX12" s="81">
        <f t="shared" si="79"/>
        <v>3</v>
      </c>
      <c r="CY12" s="1">
        <v>2</v>
      </c>
      <c r="CZ12" s="112">
        <f t="shared" si="80"/>
        <v>5</v>
      </c>
      <c r="DA12" s="1" t="s">
        <v>11</v>
      </c>
      <c r="DB12" s="81">
        <f t="shared" si="81"/>
        <v>3</v>
      </c>
      <c r="DC12" s="1">
        <v>2</v>
      </c>
      <c r="DD12" s="112">
        <f t="shared" si="82"/>
        <v>5</v>
      </c>
      <c r="DE12" s="152">
        <f t="shared" si="83"/>
        <v>21</v>
      </c>
      <c r="DF12" s="1" t="s">
        <v>14</v>
      </c>
      <c r="DG12" s="81">
        <f t="shared" si="4"/>
        <v>0</v>
      </c>
      <c r="DH12" s="1">
        <v>1</v>
      </c>
      <c r="DI12" s="112">
        <f t="shared" si="5"/>
        <v>1</v>
      </c>
      <c r="DJ12" s="1" t="s">
        <v>14</v>
      </c>
      <c r="DK12" s="81">
        <f t="shared" si="6"/>
        <v>0</v>
      </c>
      <c r="DL12" s="1">
        <v>0</v>
      </c>
      <c r="DM12" s="112">
        <f t="shared" si="7"/>
        <v>0</v>
      </c>
      <c r="DN12" s="1" t="s">
        <v>15</v>
      </c>
      <c r="DO12" s="81">
        <f t="shared" si="8"/>
        <v>0</v>
      </c>
      <c r="DP12" s="1">
        <v>1</v>
      </c>
      <c r="DQ12" s="112">
        <f t="shared" si="9"/>
        <v>1</v>
      </c>
      <c r="DR12" s="1" t="s">
        <v>11</v>
      </c>
      <c r="DS12" s="81">
        <f t="shared" si="10"/>
        <v>3</v>
      </c>
      <c r="DT12" s="1">
        <v>0</v>
      </c>
      <c r="DU12" s="112">
        <f t="shared" si="11"/>
        <v>3</v>
      </c>
      <c r="DV12" s="1" t="s">
        <v>11</v>
      </c>
      <c r="DW12" s="81">
        <f t="shared" si="12"/>
        <v>0</v>
      </c>
      <c r="DX12" s="1">
        <v>0</v>
      </c>
      <c r="DY12" s="112">
        <f t="shared" si="13"/>
        <v>0</v>
      </c>
      <c r="DZ12" s="152">
        <f t="shared" si="84"/>
        <v>5</v>
      </c>
      <c r="EA12" s="186" t="s">
        <v>32</v>
      </c>
      <c r="EB12" s="187">
        <f t="shared" ca="1" si="14"/>
        <v>1.7000000000000006</v>
      </c>
      <c r="EC12" s="41">
        <f ca="1">IF(EA12="Out", $C12)</f>
        <v>1.0967741935483866</v>
      </c>
      <c r="ED12" s="113">
        <f t="shared" ca="1" si="15"/>
        <v>2.7967741935483872</v>
      </c>
      <c r="EE12" s="186" t="s">
        <v>32</v>
      </c>
      <c r="EF12" s="187">
        <f t="shared" ca="1" si="16"/>
        <v>1.7000000000000006</v>
      </c>
      <c r="EG12" s="41">
        <f ca="1">IF(EE12="Out", $C12)</f>
        <v>1.0967741935483866</v>
      </c>
      <c r="EH12" s="113">
        <f t="shared" ca="1" si="17"/>
        <v>2.7967741935483872</v>
      </c>
      <c r="EI12" s="186" t="s">
        <v>32</v>
      </c>
      <c r="EJ12" s="187">
        <f t="shared" ca="1" si="18"/>
        <v>1.7000000000000006</v>
      </c>
      <c r="EK12" s="41">
        <f ca="1">IF(EI12="Out", $C12)</f>
        <v>1.0967741935483866</v>
      </c>
      <c r="EL12" s="113">
        <f t="shared" ca="1" si="19"/>
        <v>2.7967741935483872</v>
      </c>
      <c r="EM12" s="186" t="s">
        <v>32</v>
      </c>
      <c r="EN12" s="187">
        <f t="shared" ca="1" si="20"/>
        <v>1.7000000000000006</v>
      </c>
      <c r="EO12" s="41">
        <f ca="1">IF(EM12="Out", $C12)</f>
        <v>1.0967741935483866</v>
      </c>
      <c r="EP12" s="113">
        <f t="shared" ca="1" si="21"/>
        <v>2.7967741935483872</v>
      </c>
      <c r="EQ12" s="186" t="s">
        <v>32</v>
      </c>
      <c r="ER12" s="187">
        <f t="shared" ca="1" si="22"/>
        <v>1.7000000000000006</v>
      </c>
      <c r="ES12" s="41">
        <f ca="1">IF(EQ12="Out", $C12)</f>
        <v>1.0967741935483866</v>
      </c>
      <c r="ET12" s="113">
        <f t="shared" ca="1" si="23"/>
        <v>2.7967741935483872</v>
      </c>
      <c r="EU12" s="152">
        <f t="shared" ca="1" si="85"/>
        <v>13.983870967741936</v>
      </c>
      <c r="EV12" s="42" t="s">
        <v>32</v>
      </c>
      <c r="EW12" s="187">
        <f t="shared" ca="1" si="24"/>
        <v>1.7000000000000006</v>
      </c>
      <c r="EX12" s="41">
        <f ca="1">IF(EV12="Out", $C12)</f>
        <v>1.0967741935483866</v>
      </c>
      <c r="EY12" s="113">
        <f t="shared" ca="1" si="25"/>
        <v>2.7967741935483872</v>
      </c>
      <c r="EZ12" s="42" t="s">
        <v>32</v>
      </c>
      <c r="FA12" s="187">
        <f t="shared" ca="1" si="26"/>
        <v>1.7000000000000006</v>
      </c>
      <c r="FB12" s="41">
        <f ca="1">IF(EZ12="Out", $C12)</f>
        <v>1.0967741935483866</v>
      </c>
      <c r="FC12" s="113">
        <f t="shared" ca="1" si="27"/>
        <v>2.7967741935483872</v>
      </c>
      <c r="FD12" s="42" t="s">
        <v>32</v>
      </c>
      <c r="FE12" s="187">
        <f t="shared" ca="1" si="28"/>
        <v>1.7000000000000006</v>
      </c>
      <c r="FF12" s="41">
        <f ca="1">IF(FD12="Out", $C12)</f>
        <v>1.0967741935483866</v>
      </c>
      <c r="FG12" s="113">
        <f t="shared" ca="1" si="29"/>
        <v>2.7967741935483872</v>
      </c>
      <c r="FH12" s="42" t="s">
        <v>32</v>
      </c>
      <c r="FI12" s="187">
        <f t="shared" ca="1" si="30"/>
        <v>1.7000000000000006</v>
      </c>
      <c r="FJ12" s="42">
        <v>0</v>
      </c>
      <c r="FK12" s="113">
        <f t="shared" ca="1" si="31"/>
        <v>1.7000000000000006</v>
      </c>
      <c r="FL12" s="152">
        <f t="shared" ca="1" si="86"/>
        <v>24.074193548387097</v>
      </c>
    </row>
    <row r="13" spans="1:171" ht="14.25" customHeight="1" x14ac:dyDescent="0.2">
      <c r="A13" s="3" t="s">
        <v>41</v>
      </c>
      <c r="B13" s="4" t="s">
        <v>42</v>
      </c>
      <c r="C13" s="65">
        <f t="shared" si="32"/>
        <v>0.4358974358974359</v>
      </c>
      <c r="D13" s="65">
        <f t="shared" si="33"/>
        <v>1.4102564102564104</v>
      </c>
      <c r="E13" s="15" t="s">
        <v>12</v>
      </c>
      <c r="F13" s="16">
        <f t="shared" si="0"/>
        <v>3</v>
      </c>
      <c r="G13" s="1">
        <v>1</v>
      </c>
      <c r="H13" s="1">
        <f t="shared" si="34"/>
        <v>4</v>
      </c>
      <c r="I13" s="15" t="s">
        <v>14</v>
      </c>
      <c r="J13" s="16">
        <f t="shared" si="1"/>
        <v>3</v>
      </c>
      <c r="K13" s="78">
        <v>0</v>
      </c>
      <c r="L13" s="1">
        <f t="shared" si="35"/>
        <v>3</v>
      </c>
      <c r="M13" s="15" t="s">
        <v>12</v>
      </c>
      <c r="N13" s="16">
        <f t="shared" si="2"/>
        <v>3</v>
      </c>
      <c r="O13" s="1">
        <v>0</v>
      </c>
      <c r="P13" s="1">
        <f t="shared" si="36"/>
        <v>3</v>
      </c>
      <c r="Q13" s="15" t="s">
        <v>12</v>
      </c>
      <c r="R13" s="16">
        <f t="shared" si="3"/>
        <v>3</v>
      </c>
      <c r="S13" s="1">
        <v>2</v>
      </c>
      <c r="T13" s="1">
        <f t="shared" si="37"/>
        <v>5</v>
      </c>
      <c r="U13" s="15" t="s">
        <v>15</v>
      </c>
      <c r="V13" s="16">
        <f t="shared" si="38"/>
        <v>0</v>
      </c>
      <c r="W13" s="1">
        <v>0</v>
      </c>
      <c r="X13" s="1">
        <f t="shared" si="39"/>
        <v>0</v>
      </c>
      <c r="Y13" s="95">
        <f t="shared" si="40"/>
        <v>15</v>
      </c>
      <c r="Z13" s="28" t="s">
        <v>12</v>
      </c>
      <c r="AA13" s="81">
        <f t="shared" si="87"/>
        <v>3</v>
      </c>
      <c r="AB13" s="87">
        <v>0</v>
      </c>
      <c r="AC13" s="78">
        <f t="shared" si="41"/>
        <v>3</v>
      </c>
      <c r="AD13" s="28" t="s">
        <v>14</v>
      </c>
      <c r="AE13" s="16">
        <f t="shared" si="42"/>
        <v>0</v>
      </c>
      <c r="AF13" s="27">
        <v>2</v>
      </c>
      <c r="AG13" s="1">
        <f t="shared" si="43"/>
        <v>2</v>
      </c>
      <c r="AH13" s="28" t="s">
        <v>12</v>
      </c>
      <c r="AI13" s="16">
        <f t="shared" si="44"/>
        <v>1</v>
      </c>
      <c r="AJ13" s="27">
        <v>0</v>
      </c>
      <c r="AK13" s="17">
        <f t="shared" si="45"/>
        <v>1</v>
      </c>
      <c r="AL13" s="27" t="s">
        <v>14</v>
      </c>
      <c r="AM13" s="16">
        <f t="shared" si="46"/>
        <v>1</v>
      </c>
      <c r="AN13" s="27">
        <v>0</v>
      </c>
      <c r="AO13" s="1">
        <f t="shared" si="47"/>
        <v>1</v>
      </c>
      <c r="AP13" s="28" t="s">
        <v>15</v>
      </c>
      <c r="AQ13" s="16">
        <f t="shared" si="48"/>
        <v>0</v>
      </c>
      <c r="AR13" s="27">
        <v>0</v>
      </c>
      <c r="AS13" s="1">
        <f t="shared" si="49"/>
        <v>0</v>
      </c>
      <c r="AT13" s="95">
        <f t="shared" si="50"/>
        <v>7</v>
      </c>
      <c r="AU13" s="98" t="s">
        <v>14</v>
      </c>
      <c r="AV13" s="81">
        <f t="shared" si="51"/>
        <v>3</v>
      </c>
      <c r="AW13" s="1">
        <v>2</v>
      </c>
      <c r="AX13" s="112">
        <f t="shared" si="52"/>
        <v>5</v>
      </c>
      <c r="AY13" s="1" t="s">
        <v>15</v>
      </c>
      <c r="AZ13" s="81">
        <f t="shared" si="53"/>
        <v>0</v>
      </c>
      <c r="BA13" s="1">
        <v>0</v>
      </c>
      <c r="BB13" s="112">
        <f t="shared" si="54"/>
        <v>0</v>
      </c>
      <c r="BC13" s="1" t="s">
        <v>15</v>
      </c>
      <c r="BD13" s="81">
        <f t="shared" si="55"/>
        <v>1</v>
      </c>
      <c r="BE13" s="1">
        <v>0</v>
      </c>
      <c r="BF13" s="78">
        <f t="shared" si="56"/>
        <v>1</v>
      </c>
      <c r="BG13" s="98" t="s">
        <v>11</v>
      </c>
      <c r="BH13" s="81">
        <f t="shared" si="57"/>
        <v>3</v>
      </c>
      <c r="BI13" s="1">
        <v>0</v>
      </c>
      <c r="BJ13" s="78">
        <f t="shared" si="58"/>
        <v>3</v>
      </c>
      <c r="BK13" s="98" t="s">
        <v>12</v>
      </c>
      <c r="BL13" s="81">
        <f t="shared" si="59"/>
        <v>0</v>
      </c>
      <c r="BM13" s="1">
        <v>1</v>
      </c>
      <c r="BN13" s="78">
        <f t="shared" si="60"/>
        <v>1</v>
      </c>
      <c r="BO13" s="95">
        <f t="shared" si="61"/>
        <v>10</v>
      </c>
      <c r="BP13" s="98" t="s">
        <v>15</v>
      </c>
      <c r="BQ13" s="81">
        <f t="shared" si="62"/>
        <v>0</v>
      </c>
      <c r="BR13" s="1">
        <v>0</v>
      </c>
      <c r="BS13" s="112">
        <f t="shared" si="63"/>
        <v>0</v>
      </c>
      <c r="BT13" s="98" t="s">
        <v>15</v>
      </c>
      <c r="BU13" s="81">
        <f t="shared" si="64"/>
        <v>0</v>
      </c>
      <c r="BV13" s="1">
        <v>0</v>
      </c>
      <c r="BW13" s="112">
        <f t="shared" si="65"/>
        <v>0</v>
      </c>
      <c r="BX13" s="98" t="s">
        <v>14</v>
      </c>
      <c r="BY13" s="81">
        <f t="shared" si="66"/>
        <v>0</v>
      </c>
      <c r="BZ13" s="1">
        <v>1</v>
      </c>
      <c r="CA13" s="112">
        <f t="shared" si="67"/>
        <v>1</v>
      </c>
      <c r="CB13" s="98" t="s">
        <v>12</v>
      </c>
      <c r="CC13" s="81">
        <f t="shared" si="68"/>
        <v>0</v>
      </c>
      <c r="CD13" s="1">
        <v>0</v>
      </c>
      <c r="CE13" s="112">
        <f t="shared" si="69"/>
        <v>0</v>
      </c>
      <c r="CF13" s="98" t="s">
        <v>11</v>
      </c>
      <c r="CG13" s="81">
        <f t="shared" si="70"/>
        <v>3</v>
      </c>
      <c r="CH13" s="1">
        <v>0</v>
      </c>
      <c r="CI13" s="112">
        <f t="shared" si="71"/>
        <v>3</v>
      </c>
      <c r="CJ13" s="152">
        <f t="shared" si="72"/>
        <v>4</v>
      </c>
      <c r="CK13" s="1" t="s">
        <v>12</v>
      </c>
      <c r="CL13" s="81">
        <f t="shared" si="73"/>
        <v>3</v>
      </c>
      <c r="CM13" s="1">
        <v>1</v>
      </c>
      <c r="CN13" s="112">
        <f t="shared" si="74"/>
        <v>4</v>
      </c>
      <c r="CO13" s="1" t="s">
        <v>14</v>
      </c>
      <c r="CP13" s="81">
        <f t="shared" si="75"/>
        <v>0</v>
      </c>
      <c r="CQ13" s="1">
        <v>0</v>
      </c>
      <c r="CR13" s="112">
        <f t="shared" si="76"/>
        <v>0</v>
      </c>
      <c r="CS13" s="1" t="s">
        <v>15</v>
      </c>
      <c r="CT13" s="81">
        <f t="shared" si="77"/>
        <v>3</v>
      </c>
      <c r="CU13" s="1">
        <v>1</v>
      </c>
      <c r="CV13" s="112">
        <f t="shared" si="78"/>
        <v>4</v>
      </c>
      <c r="CW13" s="1" t="s">
        <v>14</v>
      </c>
      <c r="CX13" s="81">
        <f t="shared" si="79"/>
        <v>3</v>
      </c>
      <c r="CY13" s="1">
        <v>1</v>
      </c>
      <c r="CZ13" s="112">
        <f t="shared" si="80"/>
        <v>4</v>
      </c>
      <c r="DA13" s="1" t="s">
        <v>15</v>
      </c>
      <c r="DB13" s="81">
        <f t="shared" si="81"/>
        <v>1</v>
      </c>
      <c r="DC13" s="1">
        <v>1</v>
      </c>
      <c r="DD13" s="112">
        <f t="shared" si="82"/>
        <v>2</v>
      </c>
      <c r="DE13" s="152">
        <f t="shared" si="83"/>
        <v>14</v>
      </c>
      <c r="DF13" s="1" t="s">
        <v>11</v>
      </c>
      <c r="DG13" s="81">
        <f t="shared" si="4"/>
        <v>0</v>
      </c>
      <c r="DH13" s="1">
        <v>0</v>
      </c>
      <c r="DI13" s="112">
        <f t="shared" si="5"/>
        <v>0</v>
      </c>
      <c r="DJ13" s="1" t="s">
        <v>12</v>
      </c>
      <c r="DK13" s="81">
        <f t="shared" si="6"/>
        <v>0</v>
      </c>
      <c r="DL13" s="1">
        <v>1</v>
      </c>
      <c r="DM13" s="112">
        <f t="shared" si="7"/>
        <v>1</v>
      </c>
      <c r="DN13" s="1" t="s">
        <v>14</v>
      </c>
      <c r="DO13" s="81">
        <f t="shared" si="8"/>
        <v>3</v>
      </c>
      <c r="DP13" s="1">
        <v>0</v>
      </c>
      <c r="DQ13" s="112">
        <f t="shared" si="9"/>
        <v>3</v>
      </c>
      <c r="DR13" s="1" t="s">
        <v>14</v>
      </c>
      <c r="DS13" s="81">
        <f t="shared" si="10"/>
        <v>0</v>
      </c>
      <c r="DT13" s="1">
        <v>0</v>
      </c>
      <c r="DU13" s="112">
        <f t="shared" si="11"/>
        <v>0</v>
      </c>
      <c r="DV13" s="1" t="s">
        <v>12</v>
      </c>
      <c r="DW13" s="81">
        <f t="shared" si="12"/>
        <v>3</v>
      </c>
      <c r="DX13" s="1">
        <v>0</v>
      </c>
      <c r="DY13" s="112">
        <f t="shared" si="13"/>
        <v>3</v>
      </c>
      <c r="DZ13" s="152">
        <f t="shared" si="84"/>
        <v>7</v>
      </c>
      <c r="EA13" s="185" t="s">
        <v>14</v>
      </c>
      <c r="EB13" s="184">
        <f t="shared" si="14"/>
        <v>1</v>
      </c>
      <c r="EC13" s="185">
        <v>0</v>
      </c>
      <c r="ED13" s="112">
        <f t="shared" si="15"/>
        <v>1</v>
      </c>
      <c r="EE13" s="185" t="s">
        <v>11</v>
      </c>
      <c r="EF13" s="184">
        <f t="shared" si="16"/>
        <v>3</v>
      </c>
      <c r="EG13" s="185">
        <v>1</v>
      </c>
      <c r="EH13" s="112">
        <f t="shared" si="17"/>
        <v>4</v>
      </c>
      <c r="EI13" s="185" t="s">
        <v>12</v>
      </c>
      <c r="EJ13" s="184">
        <f t="shared" si="18"/>
        <v>0</v>
      </c>
      <c r="EK13" s="185">
        <v>0</v>
      </c>
      <c r="EL13" s="112">
        <f t="shared" si="19"/>
        <v>0</v>
      </c>
      <c r="EM13" s="185" t="s">
        <v>15</v>
      </c>
      <c r="EN13" s="184">
        <f t="shared" si="20"/>
        <v>1</v>
      </c>
      <c r="EO13" s="185">
        <v>0</v>
      </c>
      <c r="EP13" s="112">
        <f t="shared" si="21"/>
        <v>1</v>
      </c>
      <c r="EQ13" s="185" t="s">
        <v>15</v>
      </c>
      <c r="ER13" s="184">
        <f t="shared" si="22"/>
        <v>3</v>
      </c>
      <c r="ES13" s="185">
        <v>2</v>
      </c>
      <c r="ET13" s="112">
        <f t="shared" si="23"/>
        <v>5</v>
      </c>
      <c r="EU13" s="152">
        <f t="shared" si="85"/>
        <v>11</v>
      </c>
      <c r="EV13" s="1" t="s">
        <v>11</v>
      </c>
      <c r="EW13" s="184">
        <f t="shared" si="24"/>
        <v>0</v>
      </c>
      <c r="EX13" s="1">
        <v>0</v>
      </c>
      <c r="EY13" s="112">
        <f t="shared" si="25"/>
        <v>0</v>
      </c>
      <c r="EZ13" s="1" t="s">
        <v>12</v>
      </c>
      <c r="FA13" s="184">
        <f t="shared" si="26"/>
        <v>0</v>
      </c>
      <c r="FB13" s="1">
        <v>0</v>
      </c>
      <c r="FC13" s="112">
        <f t="shared" si="27"/>
        <v>0</v>
      </c>
      <c r="FD13" s="1" t="s">
        <v>15</v>
      </c>
      <c r="FE13" s="184">
        <f t="shared" si="28"/>
        <v>3</v>
      </c>
      <c r="FF13" s="1">
        <v>0</v>
      </c>
      <c r="FG13" s="112">
        <f t="shared" si="29"/>
        <v>3</v>
      </c>
      <c r="FH13" s="1" t="s">
        <v>14</v>
      </c>
      <c r="FI13" s="184">
        <f t="shared" si="30"/>
        <v>1</v>
      </c>
      <c r="FJ13" s="1">
        <v>0</v>
      </c>
      <c r="FK13" s="112">
        <f t="shared" si="31"/>
        <v>1</v>
      </c>
      <c r="FL13" s="152">
        <f t="shared" si="86"/>
        <v>15</v>
      </c>
    </row>
    <row r="14" spans="1:171" x14ac:dyDescent="0.2">
      <c r="A14" s="3" t="s">
        <v>43</v>
      </c>
      <c r="B14" s="4" t="s">
        <v>44</v>
      </c>
      <c r="C14" s="65">
        <f t="shared" ca="1" si="32"/>
        <v>0.68965517241379326</v>
      </c>
      <c r="D14" s="65">
        <f t="shared" ca="1" si="33"/>
        <v>1.0344827586206899</v>
      </c>
      <c r="E14" s="15" t="s">
        <v>11</v>
      </c>
      <c r="F14" s="16">
        <f t="shared" si="0"/>
        <v>0</v>
      </c>
      <c r="G14" s="1">
        <v>0</v>
      </c>
      <c r="H14" s="1">
        <f t="shared" si="34"/>
        <v>0</v>
      </c>
      <c r="I14" s="15" t="s">
        <v>11</v>
      </c>
      <c r="J14" s="16">
        <f t="shared" si="1"/>
        <v>0</v>
      </c>
      <c r="K14" s="78">
        <v>0</v>
      </c>
      <c r="L14" s="1">
        <f t="shared" si="35"/>
        <v>0</v>
      </c>
      <c r="M14" s="15" t="s">
        <v>11</v>
      </c>
      <c r="N14" s="16">
        <f t="shared" si="2"/>
        <v>0</v>
      </c>
      <c r="O14" s="1">
        <v>0</v>
      </c>
      <c r="P14" s="1">
        <f t="shared" si="36"/>
        <v>0</v>
      </c>
      <c r="Q14" s="15" t="s">
        <v>11</v>
      </c>
      <c r="R14" s="16">
        <f t="shared" si="3"/>
        <v>0</v>
      </c>
      <c r="S14" s="1">
        <v>0</v>
      </c>
      <c r="T14" s="1">
        <f t="shared" si="37"/>
        <v>0</v>
      </c>
      <c r="U14" s="15" t="s">
        <v>14</v>
      </c>
      <c r="V14" s="16">
        <f t="shared" si="38"/>
        <v>3</v>
      </c>
      <c r="W14" s="1">
        <v>1</v>
      </c>
      <c r="X14" s="1">
        <f t="shared" si="39"/>
        <v>4</v>
      </c>
      <c r="Y14" s="95">
        <f t="shared" si="40"/>
        <v>4</v>
      </c>
      <c r="Z14" s="28" t="s">
        <v>14</v>
      </c>
      <c r="AA14" s="81">
        <f t="shared" si="87"/>
        <v>0</v>
      </c>
      <c r="AB14" s="87">
        <v>1</v>
      </c>
      <c r="AC14" s="78">
        <f t="shared" si="41"/>
        <v>1</v>
      </c>
      <c r="AD14" s="28" t="s">
        <v>14</v>
      </c>
      <c r="AE14" s="16">
        <f t="shared" si="42"/>
        <v>0</v>
      </c>
      <c r="AF14" s="27">
        <v>0</v>
      </c>
      <c r="AG14" s="1">
        <f t="shared" si="43"/>
        <v>0</v>
      </c>
      <c r="AH14" s="28" t="s">
        <v>15</v>
      </c>
      <c r="AI14" s="16">
        <f t="shared" si="44"/>
        <v>3</v>
      </c>
      <c r="AJ14" s="27">
        <v>0</v>
      </c>
      <c r="AK14" s="17">
        <f t="shared" si="45"/>
        <v>3</v>
      </c>
      <c r="AL14" s="27" t="s">
        <v>12</v>
      </c>
      <c r="AM14" s="16">
        <f t="shared" si="46"/>
        <v>0</v>
      </c>
      <c r="AN14" s="27">
        <v>0</v>
      </c>
      <c r="AO14" s="1">
        <f t="shared" si="47"/>
        <v>0</v>
      </c>
      <c r="AP14" s="28" t="s">
        <v>11</v>
      </c>
      <c r="AQ14" s="16">
        <f t="shared" si="48"/>
        <v>0</v>
      </c>
      <c r="AR14" s="27">
        <v>0</v>
      </c>
      <c r="AS14" s="1">
        <f t="shared" si="49"/>
        <v>0</v>
      </c>
      <c r="AT14" s="95">
        <f t="shared" si="50"/>
        <v>4</v>
      </c>
      <c r="AU14" s="103" t="s">
        <v>32</v>
      </c>
      <c r="AV14" s="84">
        <f t="shared" ca="1" si="51"/>
        <v>1.0344827586206899</v>
      </c>
      <c r="AW14" s="41">
        <f ca="1">IF(AU14="Out", $C14)</f>
        <v>0.68965517241379326</v>
      </c>
      <c r="AX14" s="113">
        <f t="shared" ca="1" si="52"/>
        <v>1.7241379310344831</v>
      </c>
      <c r="AY14" s="42" t="s">
        <v>32</v>
      </c>
      <c r="AZ14" s="84">
        <f t="shared" ca="1" si="53"/>
        <v>1.0344827586206899</v>
      </c>
      <c r="BA14" s="41">
        <f ca="1">IF(AY14="Out", $C14)</f>
        <v>0.68965517241379326</v>
      </c>
      <c r="BB14" s="113">
        <f t="shared" ca="1" si="54"/>
        <v>1.7241379310344831</v>
      </c>
      <c r="BC14" s="42" t="s">
        <v>32</v>
      </c>
      <c r="BD14" s="84">
        <f t="shared" ca="1" si="55"/>
        <v>1.0344827586206899</v>
      </c>
      <c r="BE14" s="41">
        <f ca="1">IF(BC14="Out", $C14)</f>
        <v>0.68965517241379326</v>
      </c>
      <c r="BF14" s="86">
        <f t="shared" ca="1" si="56"/>
        <v>1.7241379310344831</v>
      </c>
      <c r="BG14" s="103" t="s">
        <v>32</v>
      </c>
      <c r="BH14" s="84">
        <f t="shared" ca="1" si="57"/>
        <v>1.0344827586206899</v>
      </c>
      <c r="BI14" s="41">
        <f ca="1">IF(BG14="Out", $C14)</f>
        <v>0.68965517241379326</v>
      </c>
      <c r="BJ14" s="86">
        <f t="shared" ca="1" si="58"/>
        <v>1.7241379310344831</v>
      </c>
      <c r="BK14" s="103" t="s">
        <v>32</v>
      </c>
      <c r="BL14" s="84">
        <f t="shared" ca="1" si="59"/>
        <v>1.0344827586206899</v>
      </c>
      <c r="BM14" s="41">
        <f ca="1">IF(BK14="Out", $C14)</f>
        <v>0.68965517241379326</v>
      </c>
      <c r="BN14" s="86">
        <f t="shared" ca="1" si="60"/>
        <v>1.7241379310344831</v>
      </c>
      <c r="BO14" s="95">
        <f t="shared" ca="1" si="61"/>
        <v>8.6206896551724164</v>
      </c>
      <c r="BP14" s="98" t="s">
        <v>14</v>
      </c>
      <c r="BQ14" s="81">
        <f t="shared" si="62"/>
        <v>3</v>
      </c>
      <c r="BR14" s="1">
        <v>0</v>
      </c>
      <c r="BS14" s="112">
        <f t="shared" si="63"/>
        <v>3</v>
      </c>
      <c r="BT14" s="98" t="s">
        <v>14</v>
      </c>
      <c r="BU14" s="81">
        <f t="shared" si="64"/>
        <v>3</v>
      </c>
      <c r="BV14" s="1">
        <v>0</v>
      </c>
      <c r="BW14" s="112">
        <f t="shared" si="65"/>
        <v>3</v>
      </c>
      <c r="BX14" s="98" t="s">
        <v>14</v>
      </c>
      <c r="BY14" s="81">
        <f t="shared" si="66"/>
        <v>0</v>
      </c>
      <c r="BZ14" s="1">
        <v>2</v>
      </c>
      <c r="CA14" s="112">
        <f t="shared" si="67"/>
        <v>2</v>
      </c>
      <c r="CB14" s="98" t="s">
        <v>11</v>
      </c>
      <c r="CC14" s="81">
        <f t="shared" si="68"/>
        <v>3</v>
      </c>
      <c r="CD14" s="1">
        <v>3</v>
      </c>
      <c r="CE14" s="112">
        <f t="shared" si="69"/>
        <v>6</v>
      </c>
      <c r="CF14" s="98" t="s">
        <v>14</v>
      </c>
      <c r="CG14" s="81">
        <f t="shared" si="70"/>
        <v>0</v>
      </c>
      <c r="CH14" s="1">
        <v>0</v>
      </c>
      <c r="CI14" s="112">
        <f t="shared" si="71"/>
        <v>0</v>
      </c>
      <c r="CJ14" s="152">
        <f t="shared" si="72"/>
        <v>14</v>
      </c>
      <c r="CK14" s="1" t="s">
        <v>14</v>
      </c>
      <c r="CL14" s="81">
        <f t="shared" si="73"/>
        <v>0</v>
      </c>
      <c r="CM14" s="1">
        <v>2</v>
      </c>
      <c r="CN14" s="112">
        <f t="shared" si="74"/>
        <v>2</v>
      </c>
      <c r="CO14" s="1" t="s">
        <v>15</v>
      </c>
      <c r="CP14" s="81">
        <f t="shared" si="75"/>
        <v>3</v>
      </c>
      <c r="CQ14" s="1">
        <v>1</v>
      </c>
      <c r="CR14" s="112">
        <f t="shared" si="76"/>
        <v>4</v>
      </c>
      <c r="CS14" s="1" t="s">
        <v>12</v>
      </c>
      <c r="CT14" s="81">
        <f t="shared" si="77"/>
        <v>1</v>
      </c>
      <c r="CU14" s="1">
        <v>2</v>
      </c>
      <c r="CV14" s="112">
        <f t="shared" si="78"/>
        <v>3</v>
      </c>
      <c r="CW14" s="1" t="s">
        <v>15</v>
      </c>
      <c r="CX14" s="81">
        <f t="shared" si="79"/>
        <v>0</v>
      </c>
      <c r="CY14" s="1">
        <v>1</v>
      </c>
      <c r="CZ14" s="112">
        <f t="shared" si="80"/>
        <v>1</v>
      </c>
      <c r="DA14" s="1" t="s">
        <v>11</v>
      </c>
      <c r="DB14" s="81">
        <f t="shared" si="81"/>
        <v>3</v>
      </c>
      <c r="DC14" s="1">
        <v>0</v>
      </c>
      <c r="DD14" s="112">
        <f t="shared" si="82"/>
        <v>3</v>
      </c>
      <c r="DE14" s="152">
        <f t="shared" si="83"/>
        <v>13</v>
      </c>
      <c r="DF14" s="1" t="s">
        <v>11</v>
      </c>
      <c r="DG14" s="81">
        <f t="shared" si="4"/>
        <v>0</v>
      </c>
      <c r="DH14" s="1">
        <v>1</v>
      </c>
      <c r="DI14" s="112">
        <f t="shared" si="5"/>
        <v>1</v>
      </c>
      <c r="DJ14" s="1" t="s">
        <v>14</v>
      </c>
      <c r="DK14" s="81">
        <f t="shared" si="6"/>
        <v>0</v>
      </c>
      <c r="DL14" s="1">
        <v>0</v>
      </c>
      <c r="DM14" s="112">
        <f t="shared" si="7"/>
        <v>0</v>
      </c>
      <c r="DN14" s="1" t="s">
        <v>12</v>
      </c>
      <c r="DO14" s="81">
        <f t="shared" si="8"/>
        <v>0</v>
      </c>
      <c r="DP14" s="1">
        <v>0</v>
      </c>
      <c r="DQ14" s="112">
        <f t="shared" si="9"/>
        <v>0</v>
      </c>
      <c r="DR14" s="1" t="s">
        <v>12</v>
      </c>
      <c r="DS14" s="81">
        <f t="shared" si="10"/>
        <v>0</v>
      </c>
      <c r="DT14" s="1">
        <v>0</v>
      </c>
      <c r="DU14" s="112">
        <f t="shared" si="11"/>
        <v>0</v>
      </c>
      <c r="DV14" s="1" t="s">
        <v>11</v>
      </c>
      <c r="DW14" s="81">
        <f t="shared" si="12"/>
        <v>0</v>
      </c>
      <c r="DX14" s="1">
        <v>0</v>
      </c>
      <c r="DY14" s="112">
        <f t="shared" si="13"/>
        <v>0</v>
      </c>
      <c r="DZ14" s="152">
        <f t="shared" si="84"/>
        <v>1</v>
      </c>
      <c r="EA14" s="186" t="s">
        <v>32</v>
      </c>
      <c r="EB14" s="187">
        <f t="shared" ca="1" si="14"/>
        <v>1.0344827586206899</v>
      </c>
      <c r="EC14" s="41">
        <f ca="1">IF(EA14="Out", $C14)</f>
        <v>0.68965517241379326</v>
      </c>
      <c r="ED14" s="113">
        <f t="shared" ca="1" si="15"/>
        <v>1.7241379310344831</v>
      </c>
      <c r="EE14" s="186" t="s">
        <v>32</v>
      </c>
      <c r="EF14" s="187">
        <f t="shared" ca="1" si="16"/>
        <v>1.0344827586206899</v>
      </c>
      <c r="EG14" s="41">
        <f ca="1">IF(EE14="Out", $C14)</f>
        <v>0.68965517241379326</v>
      </c>
      <c r="EH14" s="113">
        <f t="shared" ca="1" si="17"/>
        <v>1.7241379310344831</v>
      </c>
      <c r="EI14" s="186" t="s">
        <v>32</v>
      </c>
      <c r="EJ14" s="187">
        <f t="shared" ca="1" si="18"/>
        <v>1.0344827586206899</v>
      </c>
      <c r="EK14" s="41">
        <f ca="1">IF(EI14="Out", $C14)</f>
        <v>0.68965517241379326</v>
      </c>
      <c r="EL14" s="113">
        <f t="shared" ca="1" si="19"/>
        <v>1.7241379310344831</v>
      </c>
      <c r="EM14" s="186" t="s">
        <v>32</v>
      </c>
      <c r="EN14" s="187">
        <f t="shared" ca="1" si="20"/>
        <v>1.0344827586206899</v>
      </c>
      <c r="EO14" s="41">
        <f ca="1">IF(EM14="Out", $C14)</f>
        <v>0.68965517241379326</v>
      </c>
      <c r="EP14" s="113">
        <f t="shared" ca="1" si="21"/>
        <v>1.7241379310344831</v>
      </c>
      <c r="EQ14" s="186" t="s">
        <v>32</v>
      </c>
      <c r="ER14" s="187">
        <f t="shared" ca="1" si="22"/>
        <v>1.0344827586206899</v>
      </c>
      <c r="ES14" s="41">
        <f ca="1">IF(EQ14="Out", $C14)</f>
        <v>0.68965517241379326</v>
      </c>
      <c r="ET14" s="113">
        <f t="shared" ca="1" si="23"/>
        <v>1.7241379310344831</v>
      </c>
      <c r="EU14" s="152">
        <f t="shared" ca="1" si="85"/>
        <v>8.6206896551724164</v>
      </c>
      <c r="EV14" s="1" t="s">
        <v>15</v>
      </c>
      <c r="EW14" s="184">
        <f t="shared" si="24"/>
        <v>1</v>
      </c>
      <c r="EX14" s="1">
        <v>1</v>
      </c>
      <c r="EY14" s="112">
        <f t="shared" si="25"/>
        <v>2</v>
      </c>
      <c r="EZ14" s="1" t="s">
        <v>11</v>
      </c>
      <c r="FA14" s="184">
        <f t="shared" si="26"/>
        <v>3</v>
      </c>
      <c r="FB14" s="1">
        <v>1</v>
      </c>
      <c r="FC14" s="112">
        <f t="shared" si="27"/>
        <v>4</v>
      </c>
      <c r="FD14" s="1" t="s">
        <v>11</v>
      </c>
      <c r="FE14" s="184">
        <f t="shared" si="28"/>
        <v>3</v>
      </c>
      <c r="FF14" s="1">
        <v>2</v>
      </c>
      <c r="FG14" s="112">
        <f t="shared" si="29"/>
        <v>5</v>
      </c>
      <c r="FH14" s="1" t="s">
        <v>14</v>
      </c>
      <c r="FI14" s="184">
        <f t="shared" si="30"/>
        <v>1</v>
      </c>
      <c r="FJ14" s="1">
        <v>2</v>
      </c>
      <c r="FK14" s="112">
        <f t="shared" si="31"/>
        <v>3</v>
      </c>
      <c r="FL14" s="152">
        <f t="shared" ca="1" si="86"/>
        <v>22.620689655172416</v>
      </c>
    </row>
    <row r="15" spans="1:171" ht="14.25" customHeight="1" x14ac:dyDescent="0.2">
      <c r="A15" s="3" t="s">
        <v>45</v>
      </c>
      <c r="B15" s="4" t="s">
        <v>46</v>
      </c>
      <c r="C15" s="65">
        <f t="shared" ca="1" si="32"/>
        <v>0.40625</v>
      </c>
      <c r="D15" s="65">
        <f t="shared" ca="1" si="33"/>
        <v>1.3125</v>
      </c>
      <c r="E15" s="15" t="s">
        <v>14</v>
      </c>
      <c r="F15" s="16">
        <f t="shared" si="0"/>
        <v>3</v>
      </c>
      <c r="G15" s="1">
        <v>0</v>
      </c>
      <c r="H15" s="1">
        <f t="shared" si="34"/>
        <v>3</v>
      </c>
      <c r="I15" s="15" t="s">
        <v>15</v>
      </c>
      <c r="J15" s="16">
        <f t="shared" si="1"/>
        <v>0</v>
      </c>
      <c r="K15" s="78">
        <v>1</v>
      </c>
      <c r="L15" s="1">
        <f t="shared" si="35"/>
        <v>1</v>
      </c>
      <c r="M15" s="15" t="s">
        <v>14</v>
      </c>
      <c r="N15" s="16">
        <f t="shared" si="2"/>
        <v>3</v>
      </c>
      <c r="O15" s="1">
        <v>0</v>
      </c>
      <c r="P15" s="1">
        <f t="shared" si="36"/>
        <v>3</v>
      </c>
      <c r="Q15" s="15" t="s">
        <v>12</v>
      </c>
      <c r="R15" s="16">
        <f t="shared" si="3"/>
        <v>3</v>
      </c>
      <c r="S15" s="1">
        <v>0</v>
      </c>
      <c r="T15" s="1">
        <f t="shared" si="37"/>
        <v>3</v>
      </c>
      <c r="U15" s="15" t="s">
        <v>11</v>
      </c>
      <c r="V15" s="16">
        <f t="shared" si="38"/>
        <v>3</v>
      </c>
      <c r="W15" s="1">
        <v>1</v>
      </c>
      <c r="X15" s="1">
        <f t="shared" si="39"/>
        <v>4</v>
      </c>
      <c r="Y15" s="95">
        <f t="shared" si="40"/>
        <v>14</v>
      </c>
      <c r="Z15" s="28" t="s">
        <v>15</v>
      </c>
      <c r="AA15" s="81">
        <f t="shared" si="87"/>
        <v>3</v>
      </c>
      <c r="AB15" s="87">
        <v>1</v>
      </c>
      <c r="AC15" s="78">
        <f t="shared" si="41"/>
        <v>4</v>
      </c>
      <c r="AD15" s="28" t="s">
        <v>14</v>
      </c>
      <c r="AE15" s="16">
        <f t="shared" si="42"/>
        <v>0</v>
      </c>
      <c r="AF15" s="27">
        <v>0</v>
      </c>
      <c r="AG15" s="1">
        <f t="shared" si="43"/>
        <v>0</v>
      </c>
      <c r="AH15" s="28" t="s">
        <v>14</v>
      </c>
      <c r="AI15" s="16">
        <f t="shared" si="44"/>
        <v>0</v>
      </c>
      <c r="AJ15" s="27">
        <v>0</v>
      </c>
      <c r="AK15" s="17">
        <f t="shared" si="45"/>
        <v>0</v>
      </c>
      <c r="AL15" s="27" t="s">
        <v>11</v>
      </c>
      <c r="AM15" s="16">
        <f t="shared" si="46"/>
        <v>3</v>
      </c>
      <c r="AN15" s="27">
        <v>1</v>
      </c>
      <c r="AO15" s="1">
        <f t="shared" si="47"/>
        <v>4</v>
      </c>
      <c r="AP15" s="28" t="s">
        <v>12</v>
      </c>
      <c r="AQ15" s="16">
        <f t="shared" si="48"/>
        <v>3</v>
      </c>
      <c r="AR15" s="27">
        <v>0</v>
      </c>
      <c r="AS15" s="1">
        <f t="shared" si="49"/>
        <v>3</v>
      </c>
      <c r="AT15" s="95">
        <f t="shared" si="50"/>
        <v>11</v>
      </c>
      <c r="AU15" s="98" t="s">
        <v>14</v>
      </c>
      <c r="AV15" s="81">
        <f t="shared" si="51"/>
        <v>3</v>
      </c>
      <c r="AW15" s="1">
        <v>1</v>
      </c>
      <c r="AX15" s="112">
        <f t="shared" si="52"/>
        <v>4</v>
      </c>
      <c r="AY15" s="1" t="s">
        <v>11</v>
      </c>
      <c r="AZ15" s="81">
        <f t="shared" si="53"/>
        <v>1</v>
      </c>
      <c r="BA15" s="1">
        <v>0</v>
      </c>
      <c r="BB15" s="112">
        <f t="shared" si="54"/>
        <v>1</v>
      </c>
      <c r="BC15" s="1" t="s">
        <v>11</v>
      </c>
      <c r="BD15" s="81">
        <f t="shared" si="55"/>
        <v>3</v>
      </c>
      <c r="BE15" s="1">
        <v>1</v>
      </c>
      <c r="BF15" s="78">
        <f t="shared" si="56"/>
        <v>4</v>
      </c>
      <c r="BG15" s="98" t="s">
        <v>14</v>
      </c>
      <c r="BH15" s="81">
        <f t="shared" si="57"/>
        <v>3</v>
      </c>
      <c r="BI15" s="1">
        <v>1</v>
      </c>
      <c r="BJ15" s="78">
        <f t="shared" si="58"/>
        <v>4</v>
      </c>
      <c r="BK15" s="98" t="s">
        <v>11</v>
      </c>
      <c r="BL15" s="81">
        <f t="shared" si="59"/>
        <v>3</v>
      </c>
      <c r="BM15" s="1">
        <v>2</v>
      </c>
      <c r="BN15" s="78">
        <f t="shared" si="60"/>
        <v>5</v>
      </c>
      <c r="BO15" s="95">
        <f t="shared" si="61"/>
        <v>18</v>
      </c>
      <c r="BP15" s="98" t="s">
        <v>11</v>
      </c>
      <c r="BQ15" s="81">
        <f t="shared" si="62"/>
        <v>0</v>
      </c>
      <c r="BR15" s="1">
        <v>1</v>
      </c>
      <c r="BS15" s="112">
        <f t="shared" si="63"/>
        <v>1</v>
      </c>
      <c r="BT15" s="98" t="s">
        <v>15</v>
      </c>
      <c r="BU15" s="81">
        <f t="shared" si="64"/>
        <v>0</v>
      </c>
      <c r="BV15" s="1">
        <v>0</v>
      </c>
      <c r="BW15" s="112">
        <f t="shared" si="65"/>
        <v>0</v>
      </c>
      <c r="BX15" s="98" t="s">
        <v>11</v>
      </c>
      <c r="BY15" s="81">
        <f t="shared" si="66"/>
        <v>0</v>
      </c>
      <c r="BZ15" s="1">
        <v>0</v>
      </c>
      <c r="CA15" s="112">
        <f t="shared" si="67"/>
        <v>0</v>
      </c>
      <c r="CB15" s="103" t="s">
        <v>32</v>
      </c>
      <c r="CC15" s="84">
        <f t="shared" ca="1" si="68"/>
        <v>1.3125</v>
      </c>
      <c r="CD15" s="41">
        <f ca="1">IF(CB15="Out", $C15)</f>
        <v>0.40625</v>
      </c>
      <c r="CE15" s="113">
        <f t="shared" ca="1" si="69"/>
        <v>1.71875</v>
      </c>
      <c r="CF15" s="103" t="s">
        <v>32</v>
      </c>
      <c r="CG15" s="84">
        <f t="shared" ca="1" si="70"/>
        <v>1.3125</v>
      </c>
      <c r="CH15" s="41">
        <f ca="1">IF(CF15="Out", $C15)</f>
        <v>0.40625</v>
      </c>
      <c r="CI15" s="113">
        <f t="shared" ca="1" si="71"/>
        <v>1.71875</v>
      </c>
      <c r="CJ15" s="152">
        <f t="shared" ca="1" si="72"/>
        <v>4.4375</v>
      </c>
      <c r="CK15" s="42" t="s">
        <v>32</v>
      </c>
      <c r="CL15" s="84">
        <f t="shared" ca="1" si="73"/>
        <v>1.3125</v>
      </c>
      <c r="CM15" s="41">
        <f ca="1">IF(CK15="Out", $C15)</f>
        <v>0.40625</v>
      </c>
      <c r="CN15" s="113">
        <f t="shared" ca="1" si="74"/>
        <v>1.71875</v>
      </c>
      <c r="CO15" s="42" t="s">
        <v>32</v>
      </c>
      <c r="CP15" s="84">
        <f t="shared" ca="1" si="75"/>
        <v>1.3125</v>
      </c>
      <c r="CQ15" s="41">
        <f ca="1">IF(CO15="Out", $C15)</f>
        <v>0.40625</v>
      </c>
      <c r="CR15" s="113">
        <f t="shared" ca="1" si="76"/>
        <v>1.71875</v>
      </c>
      <c r="CS15" s="42" t="s">
        <v>32</v>
      </c>
      <c r="CT15" s="84">
        <f t="shared" ca="1" si="77"/>
        <v>1.3125</v>
      </c>
      <c r="CU15" s="41">
        <f ca="1">IF(CS15="Out", $C15)</f>
        <v>0.40625</v>
      </c>
      <c r="CV15" s="113">
        <f t="shared" ca="1" si="78"/>
        <v>1.71875</v>
      </c>
      <c r="CW15" s="42" t="s">
        <v>32</v>
      </c>
      <c r="CX15" s="84">
        <f t="shared" ca="1" si="79"/>
        <v>1.3125</v>
      </c>
      <c r="CY15" s="41">
        <f ca="1">IF(CW15="Out", $C15)</f>
        <v>0.40625</v>
      </c>
      <c r="CZ15" s="113">
        <f t="shared" ca="1" si="80"/>
        <v>1.71875</v>
      </c>
      <c r="DA15" s="42" t="s">
        <v>32</v>
      </c>
      <c r="DB15" s="84">
        <f t="shared" ca="1" si="81"/>
        <v>1.3125</v>
      </c>
      <c r="DC15" s="41">
        <f ca="1">IF(DA15="Out", $C15)</f>
        <v>0.40625</v>
      </c>
      <c r="DD15" s="113">
        <f t="shared" ca="1" si="82"/>
        <v>1.71875</v>
      </c>
      <c r="DE15" s="152">
        <f t="shared" ca="1" si="83"/>
        <v>8.59375</v>
      </c>
      <c r="DF15" s="1" t="s">
        <v>11</v>
      </c>
      <c r="DG15" s="81">
        <f t="shared" si="4"/>
        <v>0</v>
      </c>
      <c r="DH15" s="1">
        <v>0</v>
      </c>
      <c r="DI15" s="112">
        <f t="shared" si="5"/>
        <v>0</v>
      </c>
      <c r="DJ15" s="1" t="s">
        <v>12</v>
      </c>
      <c r="DK15" s="81">
        <f t="shared" si="6"/>
        <v>0</v>
      </c>
      <c r="DL15" s="1">
        <v>0</v>
      </c>
      <c r="DM15" s="112">
        <f t="shared" si="7"/>
        <v>0</v>
      </c>
      <c r="DN15" s="1" t="s">
        <v>12</v>
      </c>
      <c r="DO15" s="81">
        <f t="shared" si="8"/>
        <v>0</v>
      </c>
      <c r="DP15" s="1">
        <v>0</v>
      </c>
      <c r="DQ15" s="112">
        <f t="shared" si="9"/>
        <v>0</v>
      </c>
      <c r="DR15" s="1" t="s">
        <v>14</v>
      </c>
      <c r="DS15" s="81">
        <f t="shared" si="10"/>
        <v>0</v>
      </c>
      <c r="DT15" s="1">
        <v>1</v>
      </c>
      <c r="DU15" s="112">
        <f t="shared" si="11"/>
        <v>1</v>
      </c>
      <c r="DV15" s="1" t="s">
        <v>14</v>
      </c>
      <c r="DW15" s="81">
        <f t="shared" si="12"/>
        <v>3</v>
      </c>
      <c r="DX15" s="1">
        <v>0</v>
      </c>
      <c r="DY15" s="112">
        <f t="shared" si="13"/>
        <v>3</v>
      </c>
      <c r="DZ15" s="152">
        <f t="shared" si="84"/>
        <v>4</v>
      </c>
      <c r="EA15" s="185" t="s">
        <v>11</v>
      </c>
      <c r="EB15" s="184">
        <f t="shared" si="14"/>
        <v>1</v>
      </c>
      <c r="EC15" s="185">
        <v>2</v>
      </c>
      <c r="ED15" s="112">
        <f t="shared" si="15"/>
        <v>3</v>
      </c>
      <c r="EE15" s="185" t="s">
        <v>12</v>
      </c>
      <c r="EF15" s="184">
        <f t="shared" si="16"/>
        <v>0</v>
      </c>
      <c r="EG15" s="185">
        <v>0</v>
      </c>
      <c r="EH15" s="112">
        <f t="shared" si="17"/>
        <v>0</v>
      </c>
      <c r="EI15" s="185" t="s">
        <v>15</v>
      </c>
      <c r="EJ15" s="184">
        <f t="shared" si="18"/>
        <v>3</v>
      </c>
      <c r="EK15" s="185">
        <v>0</v>
      </c>
      <c r="EL15" s="112">
        <f t="shared" si="19"/>
        <v>3</v>
      </c>
      <c r="EM15" s="185" t="s">
        <v>14</v>
      </c>
      <c r="EN15" s="184">
        <f t="shared" si="20"/>
        <v>1</v>
      </c>
      <c r="EO15" s="185">
        <v>0</v>
      </c>
      <c r="EP15" s="112">
        <f t="shared" si="21"/>
        <v>1</v>
      </c>
      <c r="EQ15" s="185" t="s">
        <v>14</v>
      </c>
      <c r="ER15" s="184">
        <f t="shared" si="22"/>
        <v>0</v>
      </c>
      <c r="ES15" s="185">
        <v>0</v>
      </c>
      <c r="ET15" s="112">
        <f t="shared" si="23"/>
        <v>0</v>
      </c>
      <c r="EU15" s="152">
        <f t="shared" si="85"/>
        <v>7</v>
      </c>
      <c r="EV15" s="1" t="s">
        <v>11</v>
      </c>
      <c r="EW15" s="184">
        <f t="shared" si="24"/>
        <v>0</v>
      </c>
      <c r="EX15" s="1">
        <v>0</v>
      </c>
      <c r="EY15" s="112">
        <f t="shared" si="25"/>
        <v>0</v>
      </c>
      <c r="EZ15" s="1" t="s">
        <v>14</v>
      </c>
      <c r="FA15" s="184">
        <f t="shared" si="26"/>
        <v>0</v>
      </c>
      <c r="FB15" s="1">
        <v>0</v>
      </c>
      <c r="FC15" s="112">
        <f t="shared" si="27"/>
        <v>0</v>
      </c>
      <c r="FD15" s="1" t="s">
        <v>12</v>
      </c>
      <c r="FE15" s="184">
        <f t="shared" si="28"/>
        <v>0</v>
      </c>
      <c r="FF15" s="1">
        <v>0</v>
      </c>
      <c r="FG15" s="112">
        <f t="shared" si="29"/>
        <v>0</v>
      </c>
      <c r="FH15" s="1" t="s">
        <v>11</v>
      </c>
      <c r="FI15" s="184">
        <f t="shared" si="30"/>
        <v>0</v>
      </c>
      <c r="FJ15" s="1">
        <v>0</v>
      </c>
      <c r="FK15" s="112">
        <f t="shared" si="31"/>
        <v>0</v>
      </c>
      <c r="FL15" s="152">
        <f t="shared" si="86"/>
        <v>7</v>
      </c>
    </row>
    <row r="16" spans="1:171" x14ac:dyDescent="0.2">
      <c r="A16" s="3" t="s">
        <v>47</v>
      </c>
      <c r="B16" s="4" t="s">
        <v>48</v>
      </c>
      <c r="C16" s="65">
        <f t="shared" si="32"/>
        <v>0.30769230769230771</v>
      </c>
      <c r="D16" s="65">
        <f t="shared" si="33"/>
        <v>0.97435897435897434</v>
      </c>
      <c r="E16" s="15" t="s">
        <v>12</v>
      </c>
      <c r="F16" s="16">
        <f t="shared" si="0"/>
        <v>3</v>
      </c>
      <c r="G16" s="1">
        <v>0</v>
      </c>
      <c r="H16" s="1">
        <f t="shared" si="34"/>
        <v>3</v>
      </c>
      <c r="I16" s="15" t="s">
        <v>15</v>
      </c>
      <c r="J16" s="16">
        <f t="shared" si="1"/>
        <v>0</v>
      </c>
      <c r="K16" s="78">
        <v>0</v>
      </c>
      <c r="L16" s="1">
        <f t="shared" si="35"/>
        <v>0</v>
      </c>
      <c r="M16" s="15" t="s">
        <v>14</v>
      </c>
      <c r="N16" s="16">
        <f t="shared" si="2"/>
        <v>3</v>
      </c>
      <c r="O16" s="1">
        <v>1</v>
      </c>
      <c r="P16" s="1">
        <f t="shared" si="36"/>
        <v>4</v>
      </c>
      <c r="Q16" s="15" t="s">
        <v>11</v>
      </c>
      <c r="R16" s="16">
        <f t="shared" si="3"/>
        <v>0</v>
      </c>
      <c r="S16" s="1">
        <v>0</v>
      </c>
      <c r="T16" s="1">
        <f t="shared" si="37"/>
        <v>0</v>
      </c>
      <c r="U16" s="15" t="s">
        <v>12</v>
      </c>
      <c r="V16" s="16">
        <f t="shared" si="38"/>
        <v>0</v>
      </c>
      <c r="W16" s="1">
        <v>0</v>
      </c>
      <c r="X16" s="1">
        <f t="shared" si="39"/>
        <v>0</v>
      </c>
      <c r="Y16" s="95">
        <f t="shared" si="40"/>
        <v>7</v>
      </c>
      <c r="Z16" s="28" t="s">
        <v>14</v>
      </c>
      <c r="AA16" s="81">
        <f t="shared" si="87"/>
        <v>0</v>
      </c>
      <c r="AB16" s="87">
        <v>0</v>
      </c>
      <c r="AC16" s="78">
        <f t="shared" si="41"/>
        <v>0</v>
      </c>
      <c r="AD16" s="28" t="s">
        <v>11</v>
      </c>
      <c r="AE16" s="16">
        <f t="shared" si="42"/>
        <v>3</v>
      </c>
      <c r="AF16" s="27">
        <v>0</v>
      </c>
      <c r="AG16" s="1">
        <f t="shared" si="43"/>
        <v>3</v>
      </c>
      <c r="AH16" s="28" t="s">
        <v>15</v>
      </c>
      <c r="AI16" s="16">
        <f t="shared" si="44"/>
        <v>3</v>
      </c>
      <c r="AJ16" s="27">
        <v>0</v>
      </c>
      <c r="AK16" s="17">
        <f t="shared" si="45"/>
        <v>3</v>
      </c>
      <c r="AL16" s="27" t="s">
        <v>15</v>
      </c>
      <c r="AM16" s="16">
        <f t="shared" si="46"/>
        <v>1</v>
      </c>
      <c r="AN16" s="27">
        <v>0</v>
      </c>
      <c r="AO16" s="1">
        <f t="shared" si="47"/>
        <v>1</v>
      </c>
      <c r="AP16" s="28" t="s">
        <v>15</v>
      </c>
      <c r="AQ16" s="16">
        <f t="shared" si="48"/>
        <v>0</v>
      </c>
      <c r="AR16" s="27">
        <v>1</v>
      </c>
      <c r="AS16" s="1">
        <f t="shared" si="49"/>
        <v>1</v>
      </c>
      <c r="AT16" s="95">
        <f t="shared" si="50"/>
        <v>8</v>
      </c>
      <c r="AU16" s="98" t="s">
        <v>11</v>
      </c>
      <c r="AV16" s="81">
        <f t="shared" si="51"/>
        <v>0</v>
      </c>
      <c r="AW16" s="1">
        <v>0</v>
      </c>
      <c r="AX16" s="112">
        <f t="shared" si="52"/>
        <v>0</v>
      </c>
      <c r="AY16" s="1" t="s">
        <v>12</v>
      </c>
      <c r="AZ16" s="81">
        <f t="shared" si="53"/>
        <v>1</v>
      </c>
      <c r="BA16" s="1">
        <v>1</v>
      </c>
      <c r="BB16" s="112">
        <f t="shared" si="54"/>
        <v>2</v>
      </c>
      <c r="BC16" s="1" t="s">
        <v>15</v>
      </c>
      <c r="BD16" s="81">
        <f t="shared" si="55"/>
        <v>1</v>
      </c>
      <c r="BE16" s="1">
        <v>0</v>
      </c>
      <c r="BF16" s="78">
        <f t="shared" si="56"/>
        <v>1</v>
      </c>
      <c r="BG16" s="98" t="s">
        <v>15</v>
      </c>
      <c r="BH16" s="81">
        <f t="shared" si="57"/>
        <v>0</v>
      </c>
      <c r="BI16" s="1">
        <v>0</v>
      </c>
      <c r="BJ16" s="78">
        <f t="shared" si="58"/>
        <v>0</v>
      </c>
      <c r="BK16" s="98" t="s">
        <v>12</v>
      </c>
      <c r="BL16" s="81">
        <f t="shared" si="59"/>
        <v>0</v>
      </c>
      <c r="BM16" s="1">
        <v>0</v>
      </c>
      <c r="BN16" s="78">
        <f t="shared" si="60"/>
        <v>0</v>
      </c>
      <c r="BO16" s="95">
        <f t="shared" si="61"/>
        <v>3</v>
      </c>
      <c r="BP16" s="98" t="s">
        <v>14</v>
      </c>
      <c r="BQ16" s="81">
        <f t="shared" si="62"/>
        <v>3</v>
      </c>
      <c r="BR16" s="1">
        <v>1</v>
      </c>
      <c r="BS16" s="112">
        <f t="shared" si="63"/>
        <v>4</v>
      </c>
      <c r="BT16" s="98" t="s">
        <v>11</v>
      </c>
      <c r="BU16" s="81">
        <f t="shared" si="64"/>
        <v>3</v>
      </c>
      <c r="BV16" s="1">
        <v>1</v>
      </c>
      <c r="BW16" s="112">
        <f t="shared" si="65"/>
        <v>4</v>
      </c>
      <c r="BX16" s="98" t="s">
        <v>15</v>
      </c>
      <c r="BY16" s="81">
        <f t="shared" si="66"/>
        <v>3</v>
      </c>
      <c r="BZ16" s="1">
        <v>1</v>
      </c>
      <c r="CA16" s="112">
        <f t="shared" si="67"/>
        <v>4</v>
      </c>
      <c r="CB16" s="98" t="s">
        <v>14</v>
      </c>
      <c r="CC16" s="81">
        <f t="shared" si="68"/>
        <v>0</v>
      </c>
      <c r="CD16" s="1">
        <v>0</v>
      </c>
      <c r="CE16" s="112">
        <f t="shared" si="69"/>
        <v>0</v>
      </c>
      <c r="CF16" s="98" t="s">
        <v>12</v>
      </c>
      <c r="CG16" s="81">
        <f t="shared" si="70"/>
        <v>0</v>
      </c>
      <c r="CH16" s="1">
        <v>0</v>
      </c>
      <c r="CI16" s="112">
        <f t="shared" si="71"/>
        <v>0</v>
      </c>
      <c r="CJ16" s="152">
        <f t="shared" si="72"/>
        <v>12</v>
      </c>
      <c r="CK16" s="1" t="s">
        <v>14</v>
      </c>
      <c r="CL16" s="81">
        <f t="shared" si="73"/>
        <v>0</v>
      </c>
      <c r="CM16" s="1">
        <v>0</v>
      </c>
      <c r="CN16" s="112">
        <f t="shared" si="74"/>
        <v>0</v>
      </c>
      <c r="CO16" s="1" t="s">
        <v>11</v>
      </c>
      <c r="CP16" s="81">
        <f t="shared" si="75"/>
        <v>0</v>
      </c>
      <c r="CQ16" s="1">
        <v>0</v>
      </c>
      <c r="CR16" s="112">
        <f t="shared" si="76"/>
        <v>0</v>
      </c>
      <c r="CS16" s="1" t="s">
        <v>12</v>
      </c>
      <c r="CT16" s="81">
        <f t="shared" si="77"/>
        <v>1</v>
      </c>
      <c r="CU16" s="1">
        <v>0</v>
      </c>
      <c r="CV16" s="112">
        <f t="shared" si="78"/>
        <v>1</v>
      </c>
      <c r="CW16" s="1" t="s">
        <v>15</v>
      </c>
      <c r="CX16" s="81">
        <f t="shared" si="79"/>
        <v>0</v>
      </c>
      <c r="CY16" s="1">
        <v>0</v>
      </c>
      <c r="CZ16" s="112">
        <f t="shared" si="80"/>
        <v>0</v>
      </c>
      <c r="DA16" s="1" t="s">
        <v>14</v>
      </c>
      <c r="DB16" s="81">
        <f t="shared" si="81"/>
        <v>1</v>
      </c>
      <c r="DC16" s="1">
        <v>0</v>
      </c>
      <c r="DD16" s="112">
        <f t="shared" si="82"/>
        <v>1</v>
      </c>
      <c r="DE16" s="152">
        <f t="shared" si="83"/>
        <v>2</v>
      </c>
      <c r="DF16" s="1" t="s">
        <v>14</v>
      </c>
      <c r="DG16" s="81">
        <f t="shared" si="4"/>
        <v>0</v>
      </c>
      <c r="DH16" s="1">
        <v>1</v>
      </c>
      <c r="DI16" s="112">
        <f t="shared" si="5"/>
        <v>1</v>
      </c>
      <c r="DJ16" s="1" t="s">
        <v>14</v>
      </c>
      <c r="DK16" s="81">
        <f t="shared" si="6"/>
        <v>0</v>
      </c>
      <c r="DL16" s="1">
        <v>0</v>
      </c>
      <c r="DM16" s="112">
        <f t="shared" si="7"/>
        <v>0</v>
      </c>
      <c r="DN16" s="1" t="s">
        <v>11</v>
      </c>
      <c r="DO16" s="81">
        <f t="shared" si="8"/>
        <v>3</v>
      </c>
      <c r="DP16" s="1">
        <v>0</v>
      </c>
      <c r="DQ16" s="112">
        <f t="shared" si="9"/>
        <v>3</v>
      </c>
      <c r="DR16" s="1" t="s">
        <v>14</v>
      </c>
      <c r="DS16" s="81">
        <f t="shared" si="10"/>
        <v>0</v>
      </c>
      <c r="DT16" s="1">
        <v>1</v>
      </c>
      <c r="DU16" s="112">
        <f t="shared" si="11"/>
        <v>1</v>
      </c>
      <c r="DV16" s="1" t="s">
        <v>15</v>
      </c>
      <c r="DW16" s="81">
        <f t="shared" si="12"/>
        <v>0</v>
      </c>
      <c r="DX16" s="1">
        <v>1</v>
      </c>
      <c r="DY16" s="112">
        <f t="shared" si="13"/>
        <v>1</v>
      </c>
      <c r="DZ16" s="152">
        <f t="shared" si="84"/>
        <v>6</v>
      </c>
      <c r="EA16" s="185" t="s">
        <v>15</v>
      </c>
      <c r="EB16" s="184">
        <f t="shared" si="14"/>
        <v>1</v>
      </c>
      <c r="EC16" s="185">
        <v>0</v>
      </c>
      <c r="ED16" s="112">
        <f t="shared" si="15"/>
        <v>1</v>
      </c>
      <c r="EE16" s="185" t="s">
        <v>14</v>
      </c>
      <c r="EF16" s="184">
        <f t="shared" si="16"/>
        <v>0</v>
      </c>
      <c r="EG16" s="185">
        <v>1</v>
      </c>
      <c r="EH16" s="112">
        <f t="shared" si="17"/>
        <v>1</v>
      </c>
      <c r="EI16" s="185" t="s">
        <v>11</v>
      </c>
      <c r="EJ16" s="184">
        <f t="shared" si="18"/>
        <v>3</v>
      </c>
      <c r="EK16" s="185">
        <v>0</v>
      </c>
      <c r="EL16" s="112">
        <f t="shared" si="19"/>
        <v>3</v>
      </c>
      <c r="EM16" s="185" t="s">
        <v>15</v>
      </c>
      <c r="EN16" s="184">
        <f t="shared" si="20"/>
        <v>1</v>
      </c>
      <c r="EO16" s="185">
        <v>0</v>
      </c>
      <c r="EP16" s="112">
        <f t="shared" si="21"/>
        <v>1</v>
      </c>
      <c r="EQ16" s="185" t="s">
        <v>14</v>
      </c>
      <c r="ER16" s="184">
        <f t="shared" si="22"/>
        <v>0</v>
      </c>
      <c r="ES16" s="185">
        <v>0</v>
      </c>
      <c r="ET16" s="112">
        <f t="shared" si="23"/>
        <v>0</v>
      </c>
      <c r="EU16" s="152">
        <f t="shared" si="85"/>
        <v>6</v>
      </c>
      <c r="EV16" s="1" t="s">
        <v>15</v>
      </c>
      <c r="EW16" s="184">
        <f t="shared" si="24"/>
        <v>1</v>
      </c>
      <c r="EX16" s="1">
        <v>2</v>
      </c>
      <c r="EY16" s="112">
        <f t="shared" si="25"/>
        <v>3</v>
      </c>
      <c r="EZ16" s="1" t="s">
        <v>12</v>
      </c>
      <c r="FA16" s="184">
        <f t="shared" si="26"/>
        <v>0</v>
      </c>
      <c r="FB16" s="1">
        <v>0</v>
      </c>
      <c r="FC16" s="112">
        <f t="shared" si="27"/>
        <v>0</v>
      </c>
      <c r="FD16" s="1" t="s">
        <v>15</v>
      </c>
      <c r="FE16" s="184">
        <f t="shared" si="28"/>
        <v>3</v>
      </c>
      <c r="FF16" s="1">
        <v>0</v>
      </c>
      <c r="FG16" s="112">
        <f t="shared" si="29"/>
        <v>3</v>
      </c>
      <c r="FH16" s="1" t="s">
        <v>11</v>
      </c>
      <c r="FI16" s="184">
        <f t="shared" si="30"/>
        <v>0</v>
      </c>
      <c r="FJ16" s="1">
        <v>0</v>
      </c>
      <c r="FK16" s="112">
        <f t="shared" si="31"/>
        <v>0</v>
      </c>
      <c r="FL16" s="152">
        <f t="shared" si="86"/>
        <v>12</v>
      </c>
    </row>
    <row r="17" spans="1:168" x14ac:dyDescent="0.2">
      <c r="A17" s="3" t="s">
        <v>49</v>
      </c>
      <c r="B17" s="4" t="s">
        <v>50</v>
      </c>
      <c r="C17" s="65">
        <f t="shared" si="32"/>
        <v>0.51282051282051277</v>
      </c>
      <c r="D17" s="65">
        <f t="shared" si="33"/>
        <v>1.4871794871794872</v>
      </c>
      <c r="E17" s="15" t="s">
        <v>14</v>
      </c>
      <c r="F17" s="16">
        <f t="shared" si="0"/>
        <v>3</v>
      </c>
      <c r="G17" s="1">
        <v>1</v>
      </c>
      <c r="H17" s="1">
        <f t="shared" si="34"/>
        <v>4</v>
      </c>
      <c r="I17" s="15" t="s">
        <v>15</v>
      </c>
      <c r="J17" s="16">
        <f t="shared" si="1"/>
        <v>0</v>
      </c>
      <c r="K17" s="78">
        <v>0</v>
      </c>
      <c r="L17" s="1">
        <f t="shared" si="35"/>
        <v>0</v>
      </c>
      <c r="M17" s="15" t="s">
        <v>14</v>
      </c>
      <c r="N17" s="16">
        <f t="shared" si="2"/>
        <v>3</v>
      </c>
      <c r="O17" s="1">
        <v>0</v>
      </c>
      <c r="P17" s="1">
        <f t="shared" si="36"/>
        <v>3</v>
      </c>
      <c r="Q17" s="15" t="s">
        <v>11</v>
      </c>
      <c r="R17" s="16">
        <f t="shared" si="3"/>
        <v>0</v>
      </c>
      <c r="S17" s="1">
        <v>0</v>
      </c>
      <c r="T17" s="1">
        <f t="shared" si="37"/>
        <v>0</v>
      </c>
      <c r="U17" s="15" t="s">
        <v>11</v>
      </c>
      <c r="V17" s="16">
        <f t="shared" si="38"/>
        <v>3</v>
      </c>
      <c r="W17" s="1">
        <v>2</v>
      </c>
      <c r="X17" s="1">
        <f t="shared" si="39"/>
        <v>5</v>
      </c>
      <c r="Y17" s="95">
        <f t="shared" si="40"/>
        <v>12</v>
      </c>
      <c r="Z17" s="28" t="s">
        <v>11</v>
      </c>
      <c r="AA17" s="81">
        <f t="shared" si="87"/>
        <v>0</v>
      </c>
      <c r="AB17" s="87">
        <v>1</v>
      </c>
      <c r="AC17" s="78">
        <f t="shared" si="41"/>
        <v>1</v>
      </c>
      <c r="AD17" s="28" t="s">
        <v>12</v>
      </c>
      <c r="AE17" s="16">
        <f t="shared" si="42"/>
        <v>0</v>
      </c>
      <c r="AF17" s="27">
        <v>0</v>
      </c>
      <c r="AG17" s="1">
        <f t="shared" si="43"/>
        <v>0</v>
      </c>
      <c r="AH17" s="28" t="s">
        <v>11</v>
      </c>
      <c r="AI17" s="16">
        <f t="shared" si="44"/>
        <v>1</v>
      </c>
      <c r="AJ17" s="27">
        <v>0</v>
      </c>
      <c r="AK17" s="17">
        <f t="shared" si="45"/>
        <v>1</v>
      </c>
      <c r="AL17" s="27" t="s">
        <v>15</v>
      </c>
      <c r="AM17" s="16">
        <f t="shared" si="46"/>
        <v>1</v>
      </c>
      <c r="AN17" s="27">
        <v>0</v>
      </c>
      <c r="AO17" s="1">
        <f t="shared" si="47"/>
        <v>1</v>
      </c>
      <c r="AP17" s="28" t="s">
        <v>15</v>
      </c>
      <c r="AQ17" s="16">
        <f t="shared" si="48"/>
        <v>0</v>
      </c>
      <c r="AR17" s="27">
        <v>0</v>
      </c>
      <c r="AS17" s="1">
        <f t="shared" si="49"/>
        <v>0</v>
      </c>
      <c r="AT17" s="95">
        <f t="shared" si="50"/>
        <v>3</v>
      </c>
      <c r="AU17" s="98" t="s">
        <v>11</v>
      </c>
      <c r="AV17" s="81">
        <f t="shared" si="51"/>
        <v>0</v>
      </c>
      <c r="AW17" s="1">
        <v>0</v>
      </c>
      <c r="AX17" s="112">
        <f t="shared" si="52"/>
        <v>0</v>
      </c>
      <c r="AY17" s="1" t="s">
        <v>11</v>
      </c>
      <c r="AZ17" s="81">
        <f t="shared" si="53"/>
        <v>1</v>
      </c>
      <c r="BA17" s="1">
        <v>0</v>
      </c>
      <c r="BB17" s="112">
        <f t="shared" si="54"/>
        <v>1</v>
      </c>
      <c r="BC17" s="1" t="s">
        <v>11</v>
      </c>
      <c r="BD17" s="81">
        <f t="shared" si="55"/>
        <v>3</v>
      </c>
      <c r="BE17" s="1">
        <v>0</v>
      </c>
      <c r="BF17" s="78">
        <f t="shared" si="56"/>
        <v>3</v>
      </c>
      <c r="BG17" s="98" t="s">
        <v>11</v>
      </c>
      <c r="BH17" s="81">
        <f t="shared" si="57"/>
        <v>3</v>
      </c>
      <c r="BI17" s="1">
        <v>0</v>
      </c>
      <c r="BJ17" s="78">
        <f t="shared" si="58"/>
        <v>3</v>
      </c>
      <c r="BK17" s="98" t="s">
        <v>15</v>
      </c>
      <c r="BL17" s="81">
        <f t="shared" si="59"/>
        <v>3</v>
      </c>
      <c r="BM17" s="1">
        <v>2</v>
      </c>
      <c r="BN17" s="78">
        <f t="shared" si="60"/>
        <v>5</v>
      </c>
      <c r="BO17" s="95">
        <f t="shared" si="61"/>
        <v>12</v>
      </c>
      <c r="BP17" s="98" t="s">
        <v>14</v>
      </c>
      <c r="BQ17" s="81">
        <f t="shared" si="62"/>
        <v>3</v>
      </c>
      <c r="BR17" s="1">
        <v>0</v>
      </c>
      <c r="BS17" s="112">
        <f t="shared" si="63"/>
        <v>3</v>
      </c>
      <c r="BT17" s="98" t="s">
        <v>12</v>
      </c>
      <c r="BU17" s="81">
        <f t="shared" si="64"/>
        <v>0</v>
      </c>
      <c r="BV17" s="1">
        <v>1</v>
      </c>
      <c r="BW17" s="112">
        <f t="shared" si="65"/>
        <v>1</v>
      </c>
      <c r="BX17" s="98" t="s">
        <v>14</v>
      </c>
      <c r="BY17" s="81">
        <f t="shared" si="66"/>
        <v>0</v>
      </c>
      <c r="BZ17" s="1">
        <v>0</v>
      </c>
      <c r="CA17" s="112">
        <f t="shared" si="67"/>
        <v>0</v>
      </c>
      <c r="CB17" s="98" t="s">
        <v>11</v>
      </c>
      <c r="CC17" s="81">
        <f t="shared" si="68"/>
        <v>3</v>
      </c>
      <c r="CD17" s="1">
        <v>1</v>
      </c>
      <c r="CE17" s="112">
        <f t="shared" si="69"/>
        <v>4</v>
      </c>
      <c r="CF17" s="98" t="s">
        <v>15</v>
      </c>
      <c r="CG17" s="81">
        <f t="shared" si="70"/>
        <v>3</v>
      </c>
      <c r="CH17" s="1">
        <v>0</v>
      </c>
      <c r="CI17" s="112">
        <f t="shared" si="71"/>
        <v>3</v>
      </c>
      <c r="CJ17" s="152">
        <f t="shared" si="72"/>
        <v>11</v>
      </c>
      <c r="CK17" s="1" t="s">
        <v>11</v>
      </c>
      <c r="CL17" s="81">
        <f t="shared" si="73"/>
        <v>0</v>
      </c>
      <c r="CM17" s="1">
        <v>0</v>
      </c>
      <c r="CN17" s="112">
        <f t="shared" si="74"/>
        <v>0</v>
      </c>
      <c r="CO17" s="1" t="s">
        <v>11</v>
      </c>
      <c r="CP17" s="81">
        <f t="shared" si="75"/>
        <v>0</v>
      </c>
      <c r="CQ17" s="1">
        <v>0</v>
      </c>
      <c r="CR17" s="112">
        <f t="shared" si="76"/>
        <v>0</v>
      </c>
      <c r="CS17" s="1" t="s">
        <v>14</v>
      </c>
      <c r="CT17" s="81">
        <f t="shared" si="77"/>
        <v>0</v>
      </c>
      <c r="CU17" s="1">
        <v>0</v>
      </c>
      <c r="CV17" s="112">
        <f t="shared" si="78"/>
        <v>0</v>
      </c>
      <c r="CW17" s="1" t="s">
        <v>15</v>
      </c>
      <c r="CX17" s="81">
        <f t="shared" si="79"/>
        <v>0</v>
      </c>
      <c r="CY17" s="1">
        <v>1</v>
      </c>
      <c r="CZ17" s="112">
        <f t="shared" si="80"/>
        <v>1</v>
      </c>
      <c r="DA17" s="1" t="s">
        <v>14</v>
      </c>
      <c r="DB17" s="81">
        <f t="shared" si="81"/>
        <v>1</v>
      </c>
      <c r="DC17" s="1">
        <v>0</v>
      </c>
      <c r="DD17" s="112">
        <f t="shared" si="82"/>
        <v>1</v>
      </c>
      <c r="DE17" s="152">
        <f t="shared" si="83"/>
        <v>2</v>
      </c>
      <c r="DF17" s="1" t="s">
        <v>11</v>
      </c>
      <c r="DG17" s="81">
        <f t="shared" si="4"/>
        <v>0</v>
      </c>
      <c r="DH17" s="1">
        <v>1</v>
      </c>
      <c r="DI17" s="112">
        <f t="shared" si="5"/>
        <v>1</v>
      </c>
      <c r="DJ17" s="1" t="s">
        <v>15</v>
      </c>
      <c r="DK17" s="81">
        <f t="shared" si="6"/>
        <v>3</v>
      </c>
      <c r="DL17" s="1">
        <v>1</v>
      </c>
      <c r="DM17" s="112">
        <f t="shared" si="7"/>
        <v>4</v>
      </c>
      <c r="DN17" s="1" t="s">
        <v>14</v>
      </c>
      <c r="DO17" s="81">
        <f t="shared" si="8"/>
        <v>3</v>
      </c>
      <c r="DP17" s="1">
        <v>1</v>
      </c>
      <c r="DQ17" s="112">
        <f t="shared" si="9"/>
        <v>4</v>
      </c>
      <c r="DR17" s="1" t="s">
        <v>11</v>
      </c>
      <c r="DS17" s="81">
        <f t="shared" si="10"/>
        <v>3</v>
      </c>
      <c r="DT17" s="1">
        <v>0</v>
      </c>
      <c r="DU17" s="112">
        <f t="shared" si="11"/>
        <v>3</v>
      </c>
      <c r="DV17" s="1" t="s">
        <v>15</v>
      </c>
      <c r="DW17" s="81">
        <f t="shared" si="12"/>
        <v>0</v>
      </c>
      <c r="DX17" s="1">
        <v>1</v>
      </c>
      <c r="DY17" s="112">
        <f t="shared" si="13"/>
        <v>1</v>
      </c>
      <c r="DZ17" s="152">
        <f t="shared" si="84"/>
        <v>13</v>
      </c>
      <c r="EA17" s="185" t="s">
        <v>11</v>
      </c>
      <c r="EB17" s="184">
        <f t="shared" si="14"/>
        <v>1</v>
      </c>
      <c r="EC17" s="185">
        <v>1</v>
      </c>
      <c r="ED17" s="112">
        <f t="shared" si="15"/>
        <v>2</v>
      </c>
      <c r="EE17" s="185" t="s">
        <v>15</v>
      </c>
      <c r="EF17" s="184">
        <f t="shared" si="16"/>
        <v>3</v>
      </c>
      <c r="EG17" s="185">
        <v>0</v>
      </c>
      <c r="EH17" s="112">
        <f t="shared" si="17"/>
        <v>3</v>
      </c>
      <c r="EI17" s="185" t="s">
        <v>12</v>
      </c>
      <c r="EJ17" s="184">
        <f t="shared" si="18"/>
        <v>0</v>
      </c>
      <c r="EK17" s="185">
        <v>0</v>
      </c>
      <c r="EL17" s="112">
        <f t="shared" si="19"/>
        <v>0</v>
      </c>
      <c r="EM17" s="185" t="s">
        <v>12</v>
      </c>
      <c r="EN17" s="184">
        <f t="shared" si="20"/>
        <v>3</v>
      </c>
      <c r="EO17" s="185">
        <v>1</v>
      </c>
      <c r="EP17" s="112">
        <f t="shared" si="21"/>
        <v>4</v>
      </c>
      <c r="EQ17" s="185" t="s">
        <v>15</v>
      </c>
      <c r="ER17" s="184">
        <f t="shared" si="22"/>
        <v>3</v>
      </c>
      <c r="ES17" s="185">
        <v>1</v>
      </c>
      <c r="ET17" s="112">
        <f t="shared" si="23"/>
        <v>4</v>
      </c>
      <c r="EU17" s="152">
        <f t="shared" si="85"/>
        <v>13</v>
      </c>
      <c r="EV17" s="1" t="s">
        <v>15</v>
      </c>
      <c r="EW17" s="184">
        <f t="shared" si="24"/>
        <v>1</v>
      </c>
      <c r="EX17" s="1">
        <v>1</v>
      </c>
      <c r="EY17" s="112">
        <f t="shared" si="25"/>
        <v>2</v>
      </c>
      <c r="EZ17" s="1" t="s">
        <v>11</v>
      </c>
      <c r="FA17" s="184">
        <f t="shared" si="26"/>
        <v>3</v>
      </c>
      <c r="FB17" s="1">
        <v>1</v>
      </c>
      <c r="FC17" s="112">
        <f t="shared" si="27"/>
        <v>4</v>
      </c>
      <c r="FD17" s="1" t="s">
        <v>11</v>
      </c>
      <c r="FE17" s="184">
        <f t="shared" si="28"/>
        <v>3</v>
      </c>
      <c r="FF17" s="1">
        <v>1</v>
      </c>
      <c r="FG17" s="112">
        <f t="shared" si="29"/>
        <v>4</v>
      </c>
      <c r="FH17" s="1" t="s">
        <v>15</v>
      </c>
      <c r="FI17" s="184">
        <f t="shared" si="30"/>
        <v>1</v>
      </c>
      <c r="FJ17" s="1">
        <v>1</v>
      </c>
      <c r="FK17" s="112">
        <f t="shared" si="31"/>
        <v>2</v>
      </c>
      <c r="FL17" s="152">
        <f t="shared" si="86"/>
        <v>25</v>
      </c>
    </row>
    <row r="18" spans="1:168" ht="16" customHeight="1" x14ac:dyDescent="0.2">
      <c r="A18" s="3" t="s">
        <v>51</v>
      </c>
      <c r="B18" s="4" t="s">
        <v>50</v>
      </c>
      <c r="C18" s="65">
        <f t="shared" ca="1" si="32"/>
        <v>1.119999999999999</v>
      </c>
      <c r="D18" s="65">
        <f t="shared" ca="1" si="33"/>
        <v>1.7600000000000018</v>
      </c>
      <c r="E18" s="15" t="s">
        <v>12</v>
      </c>
      <c r="F18" s="16">
        <f t="shared" si="0"/>
        <v>3</v>
      </c>
      <c r="G18" s="1">
        <v>3</v>
      </c>
      <c r="H18" s="1">
        <f t="shared" si="34"/>
        <v>6</v>
      </c>
      <c r="I18" s="15" t="s">
        <v>12</v>
      </c>
      <c r="J18" s="16">
        <f t="shared" si="1"/>
        <v>3</v>
      </c>
      <c r="K18" s="78">
        <v>2</v>
      </c>
      <c r="L18" s="1">
        <f t="shared" si="35"/>
        <v>5</v>
      </c>
      <c r="M18" s="15" t="s">
        <v>12</v>
      </c>
      <c r="N18" s="16">
        <f t="shared" si="2"/>
        <v>3</v>
      </c>
      <c r="O18" s="1">
        <v>2</v>
      </c>
      <c r="P18" s="1">
        <f t="shared" si="36"/>
        <v>5</v>
      </c>
      <c r="Q18" s="15" t="s">
        <v>15</v>
      </c>
      <c r="R18" s="16">
        <f t="shared" si="3"/>
        <v>3</v>
      </c>
      <c r="S18" s="1">
        <v>1</v>
      </c>
      <c r="T18" s="1">
        <f t="shared" si="37"/>
        <v>4</v>
      </c>
      <c r="U18" s="15" t="s">
        <v>14</v>
      </c>
      <c r="V18" s="16">
        <f t="shared" si="38"/>
        <v>3</v>
      </c>
      <c r="W18" s="1">
        <v>0</v>
      </c>
      <c r="X18" s="1">
        <f t="shared" si="39"/>
        <v>3</v>
      </c>
      <c r="Y18" s="95">
        <f t="shared" si="40"/>
        <v>23</v>
      </c>
      <c r="Z18" s="28" t="s">
        <v>15</v>
      </c>
      <c r="AA18" s="81">
        <f t="shared" si="87"/>
        <v>3</v>
      </c>
      <c r="AB18" s="87">
        <v>1</v>
      </c>
      <c r="AC18" s="78">
        <f t="shared" si="41"/>
        <v>4</v>
      </c>
      <c r="AD18" s="28" t="s">
        <v>12</v>
      </c>
      <c r="AE18" s="16">
        <f t="shared" si="42"/>
        <v>0</v>
      </c>
      <c r="AF18" s="27">
        <v>0</v>
      </c>
      <c r="AG18" s="1">
        <f t="shared" si="43"/>
        <v>0</v>
      </c>
      <c r="AH18" s="28" t="s">
        <v>11</v>
      </c>
      <c r="AI18" s="16">
        <f t="shared" si="44"/>
        <v>1</v>
      </c>
      <c r="AJ18" s="27">
        <v>0</v>
      </c>
      <c r="AK18" s="17">
        <f t="shared" si="45"/>
        <v>1</v>
      </c>
      <c r="AL18" s="27" t="s">
        <v>11</v>
      </c>
      <c r="AM18" s="16">
        <f t="shared" si="46"/>
        <v>3</v>
      </c>
      <c r="AN18" s="27">
        <v>1</v>
      </c>
      <c r="AO18" s="1">
        <f t="shared" si="47"/>
        <v>4</v>
      </c>
      <c r="AP18" s="28" t="s">
        <v>15</v>
      </c>
      <c r="AQ18" s="16">
        <f t="shared" si="48"/>
        <v>0</v>
      </c>
      <c r="AR18" s="27">
        <v>1</v>
      </c>
      <c r="AS18" s="1">
        <f t="shared" si="49"/>
        <v>1</v>
      </c>
      <c r="AT18" s="95">
        <f t="shared" si="50"/>
        <v>10</v>
      </c>
      <c r="AU18" s="98" t="s">
        <v>14</v>
      </c>
      <c r="AV18" s="81">
        <f t="shared" si="51"/>
        <v>3</v>
      </c>
      <c r="AW18" s="1">
        <v>0</v>
      </c>
      <c r="AX18" s="112">
        <f t="shared" si="52"/>
        <v>3</v>
      </c>
      <c r="AY18" s="1" t="s">
        <v>14</v>
      </c>
      <c r="AZ18" s="81">
        <f t="shared" si="53"/>
        <v>3</v>
      </c>
      <c r="BA18" s="1">
        <v>4</v>
      </c>
      <c r="BB18" s="112">
        <f t="shared" si="54"/>
        <v>7</v>
      </c>
      <c r="BC18" s="1" t="s">
        <v>12</v>
      </c>
      <c r="BD18" s="81">
        <f t="shared" si="55"/>
        <v>0</v>
      </c>
      <c r="BE18" s="1">
        <v>1</v>
      </c>
      <c r="BF18" s="78">
        <f t="shared" si="56"/>
        <v>1</v>
      </c>
      <c r="BG18" s="98" t="s">
        <v>11</v>
      </c>
      <c r="BH18" s="81">
        <f t="shared" si="57"/>
        <v>3</v>
      </c>
      <c r="BI18" s="1">
        <v>0</v>
      </c>
      <c r="BJ18" s="78">
        <f t="shared" si="58"/>
        <v>3</v>
      </c>
      <c r="BK18" s="98" t="s">
        <v>15</v>
      </c>
      <c r="BL18" s="81">
        <f t="shared" si="59"/>
        <v>3</v>
      </c>
      <c r="BM18" s="1">
        <v>2</v>
      </c>
      <c r="BN18" s="78">
        <f t="shared" si="60"/>
        <v>5</v>
      </c>
      <c r="BO18" s="95">
        <f t="shared" si="61"/>
        <v>19</v>
      </c>
      <c r="BP18" s="103" t="s">
        <v>32</v>
      </c>
      <c r="BQ18" s="84">
        <f t="shared" ca="1" si="62"/>
        <v>1.7600000000000018</v>
      </c>
      <c r="BR18" s="41">
        <f ca="1">IF(BP18="Out", $C18)</f>
        <v>1.119999999999999</v>
      </c>
      <c r="BS18" s="113">
        <f t="shared" ca="1" si="63"/>
        <v>2.8800000000000008</v>
      </c>
      <c r="BT18" s="103" t="s">
        <v>32</v>
      </c>
      <c r="BU18" s="84">
        <f t="shared" ca="1" si="64"/>
        <v>1.7600000000000018</v>
      </c>
      <c r="BV18" s="41">
        <f ca="1">IF(BT18="Out", $C18)</f>
        <v>1.119999999999999</v>
      </c>
      <c r="BW18" s="113">
        <f t="shared" ca="1" si="65"/>
        <v>2.8800000000000008</v>
      </c>
      <c r="BX18" s="103" t="s">
        <v>32</v>
      </c>
      <c r="BY18" s="84">
        <f t="shared" ca="1" si="66"/>
        <v>1.7600000000000018</v>
      </c>
      <c r="BZ18" s="41">
        <f ca="1">IF(BX18="Out", $C18)</f>
        <v>1.119999999999999</v>
      </c>
      <c r="CA18" s="113">
        <f t="shared" ca="1" si="67"/>
        <v>2.8800000000000008</v>
      </c>
      <c r="CB18" s="103" t="s">
        <v>32</v>
      </c>
      <c r="CC18" s="84">
        <f t="shared" ca="1" si="68"/>
        <v>1.7600000000000018</v>
      </c>
      <c r="CD18" s="41">
        <f ca="1">IF(CB18="Out", $C18)</f>
        <v>1.119999999999999</v>
      </c>
      <c r="CE18" s="113">
        <f t="shared" ca="1" si="69"/>
        <v>2.8800000000000008</v>
      </c>
      <c r="CF18" s="103" t="s">
        <v>32</v>
      </c>
      <c r="CG18" s="84">
        <f t="shared" ca="1" si="70"/>
        <v>1.7600000000000018</v>
      </c>
      <c r="CH18" s="41">
        <f ca="1">IF(CF18="Out", $C18)</f>
        <v>1.119999999999999</v>
      </c>
      <c r="CI18" s="113">
        <f t="shared" ca="1" si="71"/>
        <v>2.8800000000000008</v>
      </c>
      <c r="CJ18" s="152">
        <f t="shared" ca="1" si="72"/>
        <v>14.400000000000004</v>
      </c>
      <c r="CK18" s="42" t="s">
        <v>32</v>
      </c>
      <c r="CL18" s="84">
        <f t="shared" ca="1" si="73"/>
        <v>1.7600000000000018</v>
      </c>
      <c r="CM18" s="41">
        <f ca="1">IF(CK18="Out", $C18)</f>
        <v>1.119999999999999</v>
      </c>
      <c r="CN18" s="113">
        <f t="shared" ca="1" si="74"/>
        <v>2.8800000000000008</v>
      </c>
      <c r="CO18" s="42" t="s">
        <v>32</v>
      </c>
      <c r="CP18" s="84">
        <f t="shared" ca="1" si="75"/>
        <v>1.7600000000000018</v>
      </c>
      <c r="CQ18" s="41">
        <f ca="1">IF(CO18="Out", $C18)</f>
        <v>1.119999999999999</v>
      </c>
      <c r="CR18" s="113">
        <f t="shared" ca="1" si="76"/>
        <v>2.8800000000000008</v>
      </c>
      <c r="CS18" s="42" t="s">
        <v>32</v>
      </c>
      <c r="CT18" s="84">
        <f t="shared" ca="1" si="77"/>
        <v>1.7600000000000018</v>
      </c>
      <c r="CU18" s="41">
        <f ca="1">IF(CS18="Out", $C18)</f>
        <v>1.119999999999999</v>
      </c>
      <c r="CV18" s="113">
        <f t="shared" ca="1" si="78"/>
        <v>2.8800000000000008</v>
      </c>
      <c r="CW18" s="42" t="s">
        <v>32</v>
      </c>
      <c r="CX18" s="84">
        <f t="shared" ca="1" si="79"/>
        <v>1.7600000000000018</v>
      </c>
      <c r="CY18" s="41">
        <f ca="1">IF(CW18="Out", $C18)</f>
        <v>1.119999999999999</v>
      </c>
      <c r="CZ18" s="113">
        <f t="shared" ca="1" si="80"/>
        <v>2.8800000000000008</v>
      </c>
      <c r="DA18" s="42" t="s">
        <v>32</v>
      </c>
      <c r="DB18" s="84">
        <f t="shared" ca="1" si="81"/>
        <v>1.7600000000000018</v>
      </c>
      <c r="DC18" s="41">
        <f ca="1">IF(DA18="Out", $C18)</f>
        <v>1.119999999999999</v>
      </c>
      <c r="DD18" s="113">
        <f t="shared" ca="1" si="82"/>
        <v>2.8800000000000008</v>
      </c>
      <c r="DE18" s="152">
        <f t="shared" ca="1" si="83"/>
        <v>14.400000000000004</v>
      </c>
      <c r="DF18" s="1" t="s">
        <v>12</v>
      </c>
      <c r="DG18" s="81">
        <f t="shared" si="4"/>
        <v>3</v>
      </c>
      <c r="DH18" s="1">
        <v>1</v>
      </c>
      <c r="DI18" s="112">
        <f t="shared" si="5"/>
        <v>4</v>
      </c>
      <c r="DJ18" s="1" t="s">
        <v>15</v>
      </c>
      <c r="DK18" s="81">
        <f t="shared" si="6"/>
        <v>3</v>
      </c>
      <c r="DL18" s="1">
        <v>2</v>
      </c>
      <c r="DM18" s="112">
        <f t="shared" si="7"/>
        <v>5</v>
      </c>
      <c r="DN18" s="1" t="s">
        <v>14</v>
      </c>
      <c r="DO18" s="81">
        <f t="shared" si="8"/>
        <v>3</v>
      </c>
      <c r="DP18" s="1">
        <v>0</v>
      </c>
      <c r="DQ18" s="112">
        <f t="shared" si="9"/>
        <v>3</v>
      </c>
      <c r="DR18" s="1" t="s">
        <v>12</v>
      </c>
      <c r="DS18" s="81">
        <f t="shared" si="10"/>
        <v>0</v>
      </c>
      <c r="DT18" s="1">
        <v>2</v>
      </c>
      <c r="DU18" s="112">
        <f t="shared" si="11"/>
        <v>2</v>
      </c>
      <c r="DV18" s="1" t="s">
        <v>11</v>
      </c>
      <c r="DW18" s="81">
        <f t="shared" si="12"/>
        <v>0</v>
      </c>
      <c r="DX18" s="1">
        <v>1</v>
      </c>
      <c r="DY18" s="112">
        <f t="shared" si="13"/>
        <v>1</v>
      </c>
      <c r="DZ18" s="152">
        <f t="shared" si="84"/>
        <v>15</v>
      </c>
      <c r="EA18" s="185" t="s">
        <v>11</v>
      </c>
      <c r="EB18" s="184">
        <f t="shared" si="14"/>
        <v>1</v>
      </c>
      <c r="EC18" s="185">
        <v>3</v>
      </c>
      <c r="ED18" s="112">
        <f t="shared" si="15"/>
        <v>4</v>
      </c>
      <c r="EE18" s="185" t="s">
        <v>12</v>
      </c>
      <c r="EF18" s="184">
        <f t="shared" si="16"/>
        <v>0</v>
      </c>
      <c r="EG18" s="185">
        <v>0</v>
      </c>
      <c r="EH18" s="112">
        <f t="shared" si="17"/>
        <v>0</v>
      </c>
      <c r="EI18" s="185" t="s">
        <v>14</v>
      </c>
      <c r="EJ18" s="184">
        <f t="shared" si="18"/>
        <v>0</v>
      </c>
      <c r="EK18" s="185">
        <v>1</v>
      </c>
      <c r="EL18" s="112">
        <f t="shared" si="19"/>
        <v>1</v>
      </c>
      <c r="EM18" s="185" t="s">
        <v>11</v>
      </c>
      <c r="EN18" s="184">
        <f t="shared" si="20"/>
        <v>0</v>
      </c>
      <c r="EO18" s="185">
        <v>0</v>
      </c>
      <c r="EP18" s="112">
        <f t="shared" si="21"/>
        <v>0</v>
      </c>
      <c r="EQ18" s="185" t="s">
        <v>11</v>
      </c>
      <c r="ER18" s="184">
        <f t="shared" si="22"/>
        <v>0</v>
      </c>
      <c r="ES18" s="185">
        <v>0</v>
      </c>
      <c r="ET18" s="112">
        <f t="shared" si="23"/>
        <v>0</v>
      </c>
      <c r="EU18" s="152">
        <f t="shared" si="85"/>
        <v>5</v>
      </c>
      <c r="EV18" s="42" t="s">
        <v>32</v>
      </c>
      <c r="EW18" s="187">
        <f t="shared" ca="1" si="24"/>
        <v>1.7600000000000018</v>
      </c>
      <c r="EX18" s="41">
        <f ca="1">IF(EV18="Out", $C18)</f>
        <v>1.119999999999999</v>
      </c>
      <c r="EY18" s="113">
        <f t="shared" ca="1" si="25"/>
        <v>2.8800000000000008</v>
      </c>
      <c r="EZ18" s="42" t="s">
        <v>32</v>
      </c>
      <c r="FA18" s="187">
        <f t="shared" ca="1" si="26"/>
        <v>1.7600000000000018</v>
      </c>
      <c r="FB18" s="41">
        <f ca="1">IF(EZ18="Out", $C18)</f>
        <v>1.119999999999999</v>
      </c>
      <c r="FC18" s="113">
        <f t="shared" ca="1" si="27"/>
        <v>2.8800000000000008</v>
      </c>
      <c r="FD18" s="42" t="s">
        <v>32</v>
      </c>
      <c r="FE18" s="187">
        <f t="shared" ca="1" si="28"/>
        <v>1.7600000000000018</v>
      </c>
      <c r="FF18" s="41">
        <f ca="1">IF(FD18="Out", $C18)</f>
        <v>1.119999999999999</v>
      </c>
      <c r="FG18" s="113">
        <f t="shared" ca="1" si="29"/>
        <v>2.8800000000000008</v>
      </c>
      <c r="FH18" s="42" t="s">
        <v>32</v>
      </c>
      <c r="FI18" s="187">
        <f t="shared" ca="1" si="30"/>
        <v>1.7600000000000018</v>
      </c>
      <c r="FJ18" s="41">
        <f ca="1">IF(FH18="Out", $C18)</f>
        <v>1.119999999999999</v>
      </c>
      <c r="FK18" s="113">
        <f t="shared" ca="1" si="31"/>
        <v>2.8800000000000008</v>
      </c>
      <c r="FL18" s="152">
        <f t="shared" ca="1" si="86"/>
        <v>16.520000000000003</v>
      </c>
    </row>
    <row r="19" spans="1:168" x14ac:dyDescent="0.2">
      <c r="A19" s="3" t="s">
        <v>52</v>
      </c>
      <c r="B19" s="4" t="s">
        <v>53</v>
      </c>
      <c r="C19" s="65">
        <f t="shared" si="32"/>
        <v>0.33333333333333331</v>
      </c>
      <c r="D19" s="65">
        <f t="shared" si="33"/>
        <v>1.2820512820512822</v>
      </c>
      <c r="E19" s="15" t="s">
        <v>15</v>
      </c>
      <c r="F19" s="16">
        <f t="shared" si="0"/>
        <v>0</v>
      </c>
      <c r="G19" s="1">
        <v>0</v>
      </c>
      <c r="H19" s="1">
        <f t="shared" si="34"/>
        <v>0</v>
      </c>
      <c r="I19" s="15" t="s">
        <v>12</v>
      </c>
      <c r="J19" s="16">
        <f t="shared" si="1"/>
        <v>3</v>
      </c>
      <c r="K19" s="78">
        <v>0</v>
      </c>
      <c r="L19" s="1">
        <f t="shared" si="35"/>
        <v>3</v>
      </c>
      <c r="M19" s="15" t="s">
        <v>12</v>
      </c>
      <c r="N19" s="16">
        <f t="shared" si="2"/>
        <v>3</v>
      </c>
      <c r="O19" s="1">
        <v>0</v>
      </c>
      <c r="P19" s="1">
        <f t="shared" si="36"/>
        <v>3</v>
      </c>
      <c r="Q19" s="15" t="s">
        <v>15</v>
      </c>
      <c r="R19" s="16">
        <f t="shared" si="3"/>
        <v>3</v>
      </c>
      <c r="S19" s="1">
        <v>0</v>
      </c>
      <c r="T19" s="1">
        <f t="shared" si="37"/>
        <v>3</v>
      </c>
      <c r="U19" s="15" t="s">
        <v>15</v>
      </c>
      <c r="V19" s="16">
        <f t="shared" si="38"/>
        <v>0</v>
      </c>
      <c r="W19" s="1">
        <v>0</v>
      </c>
      <c r="X19" s="1">
        <f t="shared" si="39"/>
        <v>0</v>
      </c>
      <c r="Y19" s="95">
        <f t="shared" si="40"/>
        <v>9</v>
      </c>
      <c r="Z19" s="28" t="s">
        <v>14</v>
      </c>
      <c r="AA19" s="81">
        <f t="shared" si="87"/>
        <v>0</v>
      </c>
      <c r="AB19" s="87">
        <v>0</v>
      </c>
      <c r="AC19" s="78">
        <f t="shared" si="41"/>
        <v>0</v>
      </c>
      <c r="AD19" s="28" t="s">
        <v>15</v>
      </c>
      <c r="AE19" s="16">
        <f t="shared" si="42"/>
        <v>3</v>
      </c>
      <c r="AF19" s="27">
        <v>0</v>
      </c>
      <c r="AG19" s="1">
        <f t="shared" si="43"/>
        <v>3</v>
      </c>
      <c r="AH19" s="28" t="s">
        <v>11</v>
      </c>
      <c r="AI19" s="16">
        <f t="shared" si="44"/>
        <v>1</v>
      </c>
      <c r="AJ19" s="27">
        <v>0</v>
      </c>
      <c r="AK19" s="17">
        <f t="shared" si="45"/>
        <v>1</v>
      </c>
      <c r="AL19" s="27" t="s">
        <v>14</v>
      </c>
      <c r="AM19" s="16">
        <f t="shared" si="46"/>
        <v>1</v>
      </c>
      <c r="AN19" s="27">
        <v>0</v>
      </c>
      <c r="AO19" s="1">
        <f t="shared" si="47"/>
        <v>1</v>
      </c>
      <c r="AP19" s="28" t="s">
        <v>14</v>
      </c>
      <c r="AQ19" s="16">
        <f t="shared" si="48"/>
        <v>3</v>
      </c>
      <c r="AR19" s="27">
        <v>1</v>
      </c>
      <c r="AS19" s="1">
        <f t="shared" si="49"/>
        <v>4</v>
      </c>
      <c r="AT19" s="95">
        <f t="shared" si="50"/>
        <v>9</v>
      </c>
      <c r="AU19" s="98" t="s">
        <v>12</v>
      </c>
      <c r="AV19" s="81">
        <f t="shared" si="51"/>
        <v>3</v>
      </c>
      <c r="AW19" s="1">
        <v>0</v>
      </c>
      <c r="AX19" s="112">
        <f t="shared" si="52"/>
        <v>3</v>
      </c>
      <c r="AY19" s="1" t="s">
        <v>15</v>
      </c>
      <c r="AZ19" s="81">
        <f t="shared" si="53"/>
        <v>0</v>
      </c>
      <c r="BA19" s="1">
        <v>0</v>
      </c>
      <c r="BB19" s="112">
        <f t="shared" si="54"/>
        <v>0</v>
      </c>
      <c r="BC19" s="1" t="s">
        <v>15</v>
      </c>
      <c r="BD19" s="81">
        <f t="shared" si="55"/>
        <v>1</v>
      </c>
      <c r="BE19" s="1">
        <v>0</v>
      </c>
      <c r="BF19" s="78">
        <f t="shared" si="56"/>
        <v>1</v>
      </c>
      <c r="BG19" s="98" t="s">
        <v>12</v>
      </c>
      <c r="BH19" s="81">
        <f t="shared" si="57"/>
        <v>0</v>
      </c>
      <c r="BI19" s="1">
        <v>0</v>
      </c>
      <c r="BJ19" s="78">
        <f t="shared" si="58"/>
        <v>0</v>
      </c>
      <c r="BK19" s="98" t="s">
        <v>14</v>
      </c>
      <c r="BL19" s="81">
        <f t="shared" si="59"/>
        <v>0</v>
      </c>
      <c r="BM19" s="1">
        <v>1</v>
      </c>
      <c r="BN19" s="78">
        <f t="shared" si="60"/>
        <v>1</v>
      </c>
      <c r="BO19" s="95">
        <f t="shared" si="61"/>
        <v>5</v>
      </c>
      <c r="BP19" s="98" t="s">
        <v>12</v>
      </c>
      <c r="BQ19" s="81">
        <f t="shared" si="62"/>
        <v>3</v>
      </c>
      <c r="BR19" s="1">
        <v>0</v>
      </c>
      <c r="BS19" s="112">
        <f t="shared" si="63"/>
        <v>3</v>
      </c>
      <c r="BT19" s="98" t="s">
        <v>12</v>
      </c>
      <c r="BU19" s="81">
        <f t="shared" si="64"/>
        <v>0</v>
      </c>
      <c r="BV19" s="1">
        <v>0</v>
      </c>
      <c r="BW19" s="112">
        <f t="shared" si="65"/>
        <v>0</v>
      </c>
      <c r="BX19" s="98" t="s">
        <v>15</v>
      </c>
      <c r="BY19" s="81">
        <f t="shared" si="66"/>
        <v>3</v>
      </c>
      <c r="BZ19" s="1">
        <v>1</v>
      </c>
      <c r="CA19" s="112">
        <f t="shared" si="67"/>
        <v>4</v>
      </c>
      <c r="CB19" s="98" t="s">
        <v>15</v>
      </c>
      <c r="CC19" s="81">
        <f t="shared" si="68"/>
        <v>3</v>
      </c>
      <c r="CD19" s="1">
        <v>1</v>
      </c>
      <c r="CE19" s="112">
        <f t="shared" si="69"/>
        <v>4</v>
      </c>
      <c r="CF19" s="98" t="s">
        <v>12</v>
      </c>
      <c r="CG19" s="81">
        <f t="shared" si="70"/>
        <v>0</v>
      </c>
      <c r="CH19" s="1">
        <v>0</v>
      </c>
      <c r="CI19" s="112">
        <f t="shared" si="71"/>
        <v>0</v>
      </c>
      <c r="CJ19" s="152">
        <f t="shared" si="72"/>
        <v>11</v>
      </c>
      <c r="CK19" s="1" t="s">
        <v>15</v>
      </c>
      <c r="CL19" s="81">
        <f t="shared" si="73"/>
        <v>3</v>
      </c>
      <c r="CM19" s="1">
        <v>2</v>
      </c>
      <c r="CN19" s="112">
        <f t="shared" si="74"/>
        <v>5</v>
      </c>
      <c r="CO19" s="1" t="s">
        <v>11</v>
      </c>
      <c r="CP19" s="81">
        <f t="shared" si="75"/>
        <v>0</v>
      </c>
      <c r="CQ19" s="1">
        <v>0</v>
      </c>
      <c r="CR19" s="112">
        <f t="shared" si="76"/>
        <v>0</v>
      </c>
      <c r="CS19" s="1" t="s">
        <v>11</v>
      </c>
      <c r="CT19" s="81">
        <f t="shared" si="77"/>
        <v>1</v>
      </c>
      <c r="CU19" s="1">
        <v>0</v>
      </c>
      <c r="CV19" s="112">
        <f t="shared" si="78"/>
        <v>1</v>
      </c>
      <c r="CW19" s="1" t="s">
        <v>12</v>
      </c>
      <c r="CX19" s="81">
        <f t="shared" si="79"/>
        <v>0</v>
      </c>
      <c r="CY19" s="1">
        <v>0</v>
      </c>
      <c r="CZ19" s="112">
        <f t="shared" si="80"/>
        <v>0</v>
      </c>
      <c r="DA19" s="1" t="s">
        <v>14</v>
      </c>
      <c r="DB19" s="81">
        <f t="shared" si="81"/>
        <v>1</v>
      </c>
      <c r="DC19" s="1">
        <v>2</v>
      </c>
      <c r="DD19" s="112">
        <f t="shared" si="82"/>
        <v>3</v>
      </c>
      <c r="DE19" s="152">
        <f t="shared" si="83"/>
        <v>9</v>
      </c>
      <c r="DF19" s="1" t="s">
        <v>14</v>
      </c>
      <c r="DG19" s="81">
        <f t="shared" si="4"/>
        <v>0</v>
      </c>
      <c r="DH19" s="1">
        <v>0</v>
      </c>
      <c r="DI19" s="112">
        <f t="shared" si="5"/>
        <v>0</v>
      </c>
      <c r="DJ19" s="1" t="s">
        <v>14</v>
      </c>
      <c r="DK19" s="81">
        <f t="shared" si="6"/>
        <v>0</v>
      </c>
      <c r="DL19" s="1">
        <v>2</v>
      </c>
      <c r="DM19" s="112">
        <f t="shared" si="7"/>
        <v>2</v>
      </c>
      <c r="DN19" s="1" t="s">
        <v>15</v>
      </c>
      <c r="DO19" s="81">
        <f t="shared" si="8"/>
        <v>0</v>
      </c>
      <c r="DP19" s="1">
        <v>0</v>
      </c>
      <c r="DQ19" s="112">
        <f t="shared" si="9"/>
        <v>0</v>
      </c>
      <c r="DR19" s="1" t="s">
        <v>11</v>
      </c>
      <c r="DS19" s="81">
        <f t="shared" si="10"/>
        <v>3</v>
      </c>
      <c r="DT19" s="1">
        <v>0</v>
      </c>
      <c r="DU19" s="112">
        <f t="shared" si="11"/>
        <v>3</v>
      </c>
      <c r="DV19" s="1" t="s">
        <v>15</v>
      </c>
      <c r="DW19" s="81">
        <f t="shared" si="12"/>
        <v>0</v>
      </c>
      <c r="DX19" s="1">
        <v>1</v>
      </c>
      <c r="DY19" s="112">
        <f t="shared" si="13"/>
        <v>1</v>
      </c>
      <c r="DZ19" s="152">
        <f t="shared" si="84"/>
        <v>6</v>
      </c>
      <c r="EA19" s="185" t="s">
        <v>11</v>
      </c>
      <c r="EB19" s="184">
        <f t="shared" si="14"/>
        <v>1</v>
      </c>
      <c r="EC19" s="185">
        <v>0</v>
      </c>
      <c r="ED19" s="112">
        <f t="shared" si="15"/>
        <v>1</v>
      </c>
      <c r="EE19" s="185" t="s">
        <v>14</v>
      </c>
      <c r="EF19" s="184">
        <f t="shared" si="16"/>
        <v>0</v>
      </c>
      <c r="EG19" s="185">
        <v>1</v>
      </c>
      <c r="EH19" s="112">
        <f t="shared" si="17"/>
        <v>1</v>
      </c>
      <c r="EI19" s="185" t="s">
        <v>15</v>
      </c>
      <c r="EJ19" s="184">
        <f t="shared" si="18"/>
        <v>3</v>
      </c>
      <c r="EK19" s="185">
        <v>0</v>
      </c>
      <c r="EL19" s="112">
        <f t="shared" si="19"/>
        <v>3</v>
      </c>
      <c r="EM19" s="185" t="s">
        <v>15</v>
      </c>
      <c r="EN19" s="184">
        <f t="shared" si="20"/>
        <v>1</v>
      </c>
      <c r="EO19" s="185">
        <v>1</v>
      </c>
      <c r="EP19" s="112">
        <f t="shared" si="21"/>
        <v>2</v>
      </c>
      <c r="EQ19" s="185" t="s">
        <v>12</v>
      </c>
      <c r="ER19" s="184">
        <f t="shared" si="22"/>
        <v>3</v>
      </c>
      <c r="ES19" s="185">
        <v>0</v>
      </c>
      <c r="ET19" s="112">
        <f t="shared" si="23"/>
        <v>3</v>
      </c>
      <c r="EU19" s="152">
        <f t="shared" si="85"/>
        <v>10</v>
      </c>
      <c r="EV19" s="1" t="s">
        <v>11</v>
      </c>
      <c r="EW19" s="184">
        <f t="shared" si="24"/>
        <v>0</v>
      </c>
      <c r="EX19" s="1">
        <v>0</v>
      </c>
      <c r="EY19" s="112">
        <f t="shared" si="25"/>
        <v>0</v>
      </c>
      <c r="EZ19" s="1" t="s">
        <v>14</v>
      </c>
      <c r="FA19" s="184">
        <f t="shared" si="26"/>
        <v>0</v>
      </c>
      <c r="FB19" s="1">
        <v>0</v>
      </c>
      <c r="FC19" s="112">
        <f t="shared" si="27"/>
        <v>0</v>
      </c>
      <c r="FD19" s="1" t="s">
        <v>11</v>
      </c>
      <c r="FE19" s="184">
        <f t="shared" si="28"/>
        <v>3</v>
      </c>
      <c r="FF19" s="1">
        <v>0</v>
      </c>
      <c r="FG19" s="112">
        <f t="shared" si="29"/>
        <v>3</v>
      </c>
      <c r="FH19" s="1" t="s">
        <v>14</v>
      </c>
      <c r="FI19" s="184">
        <f t="shared" si="30"/>
        <v>1</v>
      </c>
      <c r="FJ19" s="1">
        <v>0</v>
      </c>
      <c r="FK19" s="112">
        <f t="shared" si="31"/>
        <v>1</v>
      </c>
      <c r="FL19" s="152">
        <f t="shared" si="86"/>
        <v>14</v>
      </c>
    </row>
    <row r="20" spans="1:168" x14ac:dyDescent="0.2">
      <c r="A20" s="3" t="s">
        <v>54</v>
      </c>
      <c r="B20" s="4" t="s">
        <v>55</v>
      </c>
      <c r="C20" s="65">
        <f t="shared" si="32"/>
        <v>0.35897435897435898</v>
      </c>
      <c r="D20" s="65">
        <f t="shared" si="33"/>
        <v>0.87179487179487181</v>
      </c>
      <c r="E20" s="15" t="s">
        <v>15</v>
      </c>
      <c r="F20" s="16">
        <f t="shared" si="0"/>
        <v>0</v>
      </c>
      <c r="G20" s="1">
        <v>0</v>
      </c>
      <c r="H20" s="1">
        <f t="shared" si="34"/>
        <v>0</v>
      </c>
      <c r="I20" s="15" t="s">
        <v>15</v>
      </c>
      <c r="J20" s="16">
        <f t="shared" si="1"/>
        <v>0</v>
      </c>
      <c r="K20" s="78">
        <v>0</v>
      </c>
      <c r="L20" s="1">
        <f t="shared" si="35"/>
        <v>0</v>
      </c>
      <c r="M20" s="15" t="s">
        <v>15</v>
      </c>
      <c r="N20" s="16">
        <f t="shared" si="2"/>
        <v>0</v>
      </c>
      <c r="O20" s="1">
        <v>0</v>
      </c>
      <c r="P20" s="1">
        <f t="shared" si="36"/>
        <v>0</v>
      </c>
      <c r="Q20" s="15" t="s">
        <v>12</v>
      </c>
      <c r="R20" s="16">
        <f t="shared" si="3"/>
        <v>3</v>
      </c>
      <c r="S20" s="1">
        <v>0</v>
      </c>
      <c r="T20" s="1">
        <f t="shared" si="37"/>
        <v>3</v>
      </c>
      <c r="U20" s="15" t="s">
        <v>11</v>
      </c>
      <c r="V20" s="16">
        <f t="shared" si="38"/>
        <v>3</v>
      </c>
      <c r="W20" s="1">
        <v>0</v>
      </c>
      <c r="X20" s="1">
        <f t="shared" si="39"/>
        <v>3</v>
      </c>
      <c r="Y20" s="95">
        <f t="shared" si="40"/>
        <v>6</v>
      </c>
      <c r="Z20" s="28" t="s">
        <v>11</v>
      </c>
      <c r="AA20" s="81">
        <f t="shared" si="87"/>
        <v>0</v>
      </c>
      <c r="AB20" s="87">
        <v>0</v>
      </c>
      <c r="AC20" s="78">
        <f t="shared" si="41"/>
        <v>0</v>
      </c>
      <c r="AD20" s="28" t="s">
        <v>12</v>
      </c>
      <c r="AE20" s="16">
        <f t="shared" si="42"/>
        <v>0</v>
      </c>
      <c r="AF20" s="27">
        <v>0</v>
      </c>
      <c r="AG20" s="1">
        <f t="shared" si="43"/>
        <v>0</v>
      </c>
      <c r="AH20" s="28" t="s">
        <v>15</v>
      </c>
      <c r="AI20" s="16">
        <f t="shared" si="44"/>
        <v>3</v>
      </c>
      <c r="AJ20" s="27">
        <v>0</v>
      </c>
      <c r="AK20" s="17">
        <f t="shared" si="45"/>
        <v>3</v>
      </c>
      <c r="AL20" s="27" t="s">
        <v>12</v>
      </c>
      <c r="AM20" s="16">
        <f t="shared" si="46"/>
        <v>0</v>
      </c>
      <c r="AN20" s="27">
        <v>1</v>
      </c>
      <c r="AO20" s="1">
        <f t="shared" si="47"/>
        <v>1</v>
      </c>
      <c r="AP20" s="28" t="s">
        <v>11</v>
      </c>
      <c r="AQ20" s="16">
        <f t="shared" si="48"/>
        <v>0</v>
      </c>
      <c r="AR20" s="27">
        <v>0</v>
      </c>
      <c r="AS20" s="1">
        <f t="shared" si="49"/>
        <v>0</v>
      </c>
      <c r="AT20" s="95">
        <f t="shared" si="50"/>
        <v>4</v>
      </c>
      <c r="AU20" s="98" t="s">
        <v>12</v>
      </c>
      <c r="AV20" s="81">
        <f t="shared" si="51"/>
        <v>3</v>
      </c>
      <c r="AW20" s="1">
        <v>1</v>
      </c>
      <c r="AX20" s="112">
        <f t="shared" si="52"/>
        <v>4</v>
      </c>
      <c r="AY20" s="1" t="s">
        <v>15</v>
      </c>
      <c r="AZ20" s="81">
        <f t="shared" si="53"/>
        <v>0</v>
      </c>
      <c r="BA20" s="1">
        <v>0</v>
      </c>
      <c r="BB20" s="112">
        <f t="shared" si="54"/>
        <v>0</v>
      </c>
      <c r="BC20" s="1" t="s">
        <v>12</v>
      </c>
      <c r="BD20" s="81">
        <f t="shared" si="55"/>
        <v>0</v>
      </c>
      <c r="BE20" s="1">
        <v>0</v>
      </c>
      <c r="BF20" s="78">
        <f t="shared" si="56"/>
        <v>0</v>
      </c>
      <c r="BG20" s="98" t="s">
        <v>15</v>
      </c>
      <c r="BH20" s="81">
        <f t="shared" si="57"/>
        <v>0</v>
      </c>
      <c r="BI20" s="1">
        <v>1</v>
      </c>
      <c r="BJ20" s="78">
        <f t="shared" si="58"/>
        <v>1</v>
      </c>
      <c r="BK20" s="98" t="s">
        <v>11</v>
      </c>
      <c r="BL20" s="81">
        <f t="shared" si="59"/>
        <v>3</v>
      </c>
      <c r="BM20" s="1">
        <v>1</v>
      </c>
      <c r="BN20" s="78">
        <f t="shared" si="60"/>
        <v>4</v>
      </c>
      <c r="BO20" s="95">
        <f t="shared" si="61"/>
        <v>9</v>
      </c>
      <c r="BP20" s="98" t="s">
        <v>15</v>
      </c>
      <c r="BQ20" s="81">
        <f t="shared" si="62"/>
        <v>0</v>
      </c>
      <c r="BR20" s="1">
        <v>0</v>
      </c>
      <c r="BS20" s="112">
        <f t="shared" si="63"/>
        <v>0</v>
      </c>
      <c r="BT20" s="98" t="s">
        <v>15</v>
      </c>
      <c r="BU20" s="81">
        <f t="shared" si="64"/>
        <v>0</v>
      </c>
      <c r="BV20" s="1">
        <v>1</v>
      </c>
      <c r="BW20" s="112">
        <f t="shared" si="65"/>
        <v>1</v>
      </c>
      <c r="BX20" s="98" t="s">
        <v>15</v>
      </c>
      <c r="BY20" s="81">
        <f t="shared" si="66"/>
        <v>3</v>
      </c>
      <c r="BZ20" s="1">
        <v>1</v>
      </c>
      <c r="CA20" s="112">
        <f t="shared" si="67"/>
        <v>4</v>
      </c>
      <c r="CB20" s="98" t="s">
        <v>12</v>
      </c>
      <c r="CC20" s="81">
        <f t="shared" si="68"/>
        <v>0</v>
      </c>
      <c r="CD20" s="1">
        <v>0</v>
      </c>
      <c r="CE20" s="112">
        <f t="shared" si="69"/>
        <v>0</v>
      </c>
      <c r="CF20" s="98" t="s">
        <v>12</v>
      </c>
      <c r="CG20" s="81">
        <f t="shared" si="70"/>
        <v>0</v>
      </c>
      <c r="CH20" s="1">
        <v>0</v>
      </c>
      <c r="CI20" s="112">
        <f t="shared" si="71"/>
        <v>0</v>
      </c>
      <c r="CJ20" s="152">
        <f t="shared" si="72"/>
        <v>5</v>
      </c>
      <c r="CK20" s="1" t="s">
        <v>14</v>
      </c>
      <c r="CL20" s="81">
        <f t="shared" si="73"/>
        <v>0</v>
      </c>
      <c r="CM20" s="1">
        <v>0</v>
      </c>
      <c r="CN20" s="112">
        <f t="shared" si="74"/>
        <v>0</v>
      </c>
      <c r="CO20" s="1" t="s">
        <v>14</v>
      </c>
      <c r="CP20" s="81">
        <f t="shared" si="75"/>
        <v>0</v>
      </c>
      <c r="CQ20" s="1">
        <v>1</v>
      </c>
      <c r="CR20" s="112">
        <f t="shared" si="76"/>
        <v>1</v>
      </c>
      <c r="CS20" s="1" t="s">
        <v>12</v>
      </c>
      <c r="CT20" s="81">
        <f t="shared" si="77"/>
        <v>1</v>
      </c>
      <c r="CU20" s="1">
        <v>1</v>
      </c>
      <c r="CV20" s="112">
        <f t="shared" si="78"/>
        <v>2</v>
      </c>
      <c r="CW20" s="1" t="s">
        <v>12</v>
      </c>
      <c r="CX20" s="81">
        <f t="shared" si="79"/>
        <v>0</v>
      </c>
      <c r="CY20" s="1">
        <v>1</v>
      </c>
      <c r="CZ20" s="112">
        <f t="shared" si="80"/>
        <v>1</v>
      </c>
      <c r="DA20" s="1" t="s">
        <v>12</v>
      </c>
      <c r="DB20" s="81">
        <f t="shared" si="81"/>
        <v>0</v>
      </c>
      <c r="DC20" s="1">
        <v>0</v>
      </c>
      <c r="DD20" s="112">
        <f t="shared" si="82"/>
        <v>0</v>
      </c>
      <c r="DE20" s="152">
        <f t="shared" si="83"/>
        <v>4</v>
      </c>
      <c r="DF20" s="1" t="s">
        <v>11</v>
      </c>
      <c r="DG20" s="81">
        <f t="shared" si="4"/>
        <v>0</v>
      </c>
      <c r="DH20" s="1">
        <v>1</v>
      </c>
      <c r="DI20" s="112">
        <f t="shared" si="5"/>
        <v>1</v>
      </c>
      <c r="DJ20" s="1" t="s">
        <v>14</v>
      </c>
      <c r="DK20" s="81">
        <f t="shared" si="6"/>
        <v>0</v>
      </c>
      <c r="DL20" s="1">
        <v>0</v>
      </c>
      <c r="DM20" s="112">
        <f t="shared" si="7"/>
        <v>0</v>
      </c>
      <c r="DN20" s="1" t="s">
        <v>12</v>
      </c>
      <c r="DO20" s="81">
        <f t="shared" si="8"/>
        <v>0</v>
      </c>
      <c r="DP20" s="1">
        <v>0</v>
      </c>
      <c r="DQ20" s="112">
        <f t="shared" si="9"/>
        <v>0</v>
      </c>
      <c r="DR20" s="1" t="s">
        <v>12</v>
      </c>
      <c r="DS20" s="81">
        <f t="shared" si="10"/>
        <v>0</v>
      </c>
      <c r="DT20" s="1">
        <v>1</v>
      </c>
      <c r="DU20" s="112">
        <f t="shared" si="11"/>
        <v>1</v>
      </c>
      <c r="DV20" s="1" t="s">
        <v>11</v>
      </c>
      <c r="DW20" s="81">
        <f t="shared" si="12"/>
        <v>0</v>
      </c>
      <c r="DX20" s="1">
        <v>1</v>
      </c>
      <c r="DY20" s="112">
        <f t="shared" si="13"/>
        <v>1</v>
      </c>
      <c r="DZ20" s="152">
        <f t="shared" si="84"/>
        <v>3</v>
      </c>
      <c r="EA20" s="185" t="s">
        <v>14</v>
      </c>
      <c r="EB20" s="184">
        <f t="shared" si="14"/>
        <v>1</v>
      </c>
      <c r="EC20" s="185">
        <v>0</v>
      </c>
      <c r="ED20" s="112">
        <f t="shared" si="15"/>
        <v>1</v>
      </c>
      <c r="EE20" s="185" t="s">
        <v>15</v>
      </c>
      <c r="EF20" s="184">
        <f t="shared" si="16"/>
        <v>3</v>
      </c>
      <c r="EG20" s="185">
        <v>1</v>
      </c>
      <c r="EH20" s="112">
        <f t="shared" si="17"/>
        <v>4</v>
      </c>
      <c r="EI20" s="185" t="s">
        <v>12</v>
      </c>
      <c r="EJ20" s="184">
        <f t="shared" si="18"/>
        <v>0</v>
      </c>
      <c r="EK20" s="185">
        <v>0</v>
      </c>
      <c r="EL20" s="112">
        <f t="shared" si="19"/>
        <v>0</v>
      </c>
      <c r="EM20" s="185" t="s">
        <v>12</v>
      </c>
      <c r="EN20" s="184">
        <f t="shared" si="20"/>
        <v>3</v>
      </c>
      <c r="EO20" s="185">
        <v>0</v>
      </c>
      <c r="EP20" s="112">
        <f t="shared" si="21"/>
        <v>3</v>
      </c>
      <c r="EQ20" s="185" t="s">
        <v>12</v>
      </c>
      <c r="ER20" s="184">
        <f t="shared" si="22"/>
        <v>3</v>
      </c>
      <c r="ES20" s="185">
        <v>1</v>
      </c>
      <c r="ET20" s="112">
        <f t="shared" si="23"/>
        <v>4</v>
      </c>
      <c r="EU20" s="152">
        <f t="shared" si="85"/>
        <v>12</v>
      </c>
      <c r="EV20" s="1" t="s">
        <v>14</v>
      </c>
      <c r="EW20" s="184">
        <f t="shared" si="24"/>
        <v>1</v>
      </c>
      <c r="EX20" s="1">
        <v>0</v>
      </c>
      <c r="EY20" s="112">
        <f t="shared" si="25"/>
        <v>1</v>
      </c>
      <c r="EZ20" s="1" t="s">
        <v>12</v>
      </c>
      <c r="FA20" s="184">
        <f t="shared" si="26"/>
        <v>0</v>
      </c>
      <c r="FB20" s="1">
        <v>0</v>
      </c>
      <c r="FC20" s="112">
        <f t="shared" si="27"/>
        <v>0</v>
      </c>
      <c r="FD20" s="1" t="s">
        <v>15</v>
      </c>
      <c r="FE20" s="184">
        <f t="shared" si="28"/>
        <v>3</v>
      </c>
      <c r="FF20" s="1">
        <v>0</v>
      </c>
      <c r="FG20" s="112">
        <f t="shared" si="29"/>
        <v>3</v>
      </c>
      <c r="FH20" s="1" t="s">
        <v>15</v>
      </c>
      <c r="FI20" s="184">
        <f t="shared" si="30"/>
        <v>1</v>
      </c>
      <c r="FJ20" s="1">
        <v>0</v>
      </c>
      <c r="FK20" s="112">
        <f t="shared" si="31"/>
        <v>1</v>
      </c>
      <c r="FL20" s="152">
        <f t="shared" si="86"/>
        <v>17</v>
      </c>
    </row>
    <row r="21" spans="1:168" x14ac:dyDescent="0.2">
      <c r="A21" s="3" t="s">
        <v>56</v>
      </c>
      <c r="B21" s="4" t="s">
        <v>57</v>
      </c>
      <c r="C21" s="65">
        <f t="shared" ca="1" si="32"/>
        <v>0.3235294117647059</v>
      </c>
      <c r="D21" s="65">
        <f t="shared" ca="1" si="33"/>
        <v>1.2647058823529413</v>
      </c>
      <c r="E21" s="15" t="s">
        <v>12</v>
      </c>
      <c r="F21" s="16">
        <f t="shared" si="0"/>
        <v>3</v>
      </c>
      <c r="G21" s="1">
        <v>2</v>
      </c>
      <c r="H21" s="1">
        <f t="shared" si="34"/>
        <v>5</v>
      </c>
      <c r="I21" s="15" t="s">
        <v>12</v>
      </c>
      <c r="J21" s="16">
        <f t="shared" si="1"/>
        <v>3</v>
      </c>
      <c r="K21" s="78">
        <v>1</v>
      </c>
      <c r="L21" s="1">
        <f t="shared" si="35"/>
        <v>4</v>
      </c>
      <c r="M21" s="15" t="s">
        <v>11</v>
      </c>
      <c r="N21" s="16">
        <f t="shared" si="2"/>
        <v>0</v>
      </c>
      <c r="O21" s="1">
        <v>0</v>
      </c>
      <c r="P21" s="1">
        <f t="shared" si="36"/>
        <v>0</v>
      </c>
      <c r="Q21" s="15" t="s">
        <v>11</v>
      </c>
      <c r="R21" s="16">
        <f t="shared" si="3"/>
        <v>0</v>
      </c>
      <c r="S21" s="1">
        <v>0</v>
      </c>
      <c r="T21" s="1">
        <f t="shared" si="37"/>
        <v>0</v>
      </c>
      <c r="U21" s="15" t="s">
        <v>14</v>
      </c>
      <c r="V21" s="16">
        <f t="shared" si="38"/>
        <v>3</v>
      </c>
      <c r="W21" s="1">
        <v>0</v>
      </c>
      <c r="X21" s="1">
        <f t="shared" si="39"/>
        <v>3</v>
      </c>
      <c r="Y21" s="95">
        <f t="shared" si="40"/>
        <v>12</v>
      </c>
      <c r="Z21" s="28" t="s">
        <v>12</v>
      </c>
      <c r="AA21" s="81">
        <f t="shared" si="87"/>
        <v>3</v>
      </c>
      <c r="AB21" s="87">
        <v>0</v>
      </c>
      <c r="AC21" s="78">
        <f t="shared" si="41"/>
        <v>3</v>
      </c>
      <c r="AD21" s="28" t="s">
        <v>14</v>
      </c>
      <c r="AE21" s="16">
        <f t="shared" si="42"/>
        <v>0</v>
      </c>
      <c r="AF21" s="27">
        <v>0</v>
      </c>
      <c r="AG21" s="1">
        <f t="shared" si="43"/>
        <v>0</v>
      </c>
      <c r="AH21" s="28" t="s">
        <v>12</v>
      </c>
      <c r="AI21" s="16">
        <f t="shared" si="44"/>
        <v>1</v>
      </c>
      <c r="AJ21" s="27">
        <v>0</v>
      </c>
      <c r="AK21" s="17">
        <f t="shared" si="45"/>
        <v>1</v>
      </c>
      <c r="AL21" s="27" t="s">
        <v>12</v>
      </c>
      <c r="AM21" s="16">
        <f t="shared" si="46"/>
        <v>0</v>
      </c>
      <c r="AN21" s="27">
        <v>0</v>
      </c>
      <c r="AO21" s="1">
        <f t="shared" si="47"/>
        <v>0</v>
      </c>
      <c r="AP21" s="28" t="s">
        <v>14</v>
      </c>
      <c r="AQ21" s="16">
        <f t="shared" si="48"/>
        <v>3</v>
      </c>
      <c r="AR21" s="27">
        <v>0</v>
      </c>
      <c r="AS21" s="1">
        <f t="shared" si="49"/>
        <v>3</v>
      </c>
      <c r="AT21" s="95">
        <f t="shared" si="50"/>
        <v>7</v>
      </c>
      <c r="AU21" s="98" t="s">
        <v>15</v>
      </c>
      <c r="AV21" s="81">
        <f t="shared" si="51"/>
        <v>0</v>
      </c>
      <c r="AW21" s="1">
        <v>0</v>
      </c>
      <c r="AX21" s="112">
        <f t="shared" si="52"/>
        <v>0</v>
      </c>
      <c r="AY21" s="1" t="s">
        <v>11</v>
      </c>
      <c r="AZ21" s="81">
        <f t="shared" si="53"/>
        <v>1</v>
      </c>
      <c r="BA21" s="1">
        <v>0</v>
      </c>
      <c r="BB21" s="112">
        <f t="shared" si="54"/>
        <v>1</v>
      </c>
      <c r="BC21" s="1" t="s">
        <v>12</v>
      </c>
      <c r="BD21" s="81">
        <f t="shared" si="55"/>
        <v>0</v>
      </c>
      <c r="BE21" s="1">
        <v>0</v>
      </c>
      <c r="BF21" s="78">
        <f t="shared" si="56"/>
        <v>0</v>
      </c>
      <c r="BG21" s="98" t="s">
        <v>15</v>
      </c>
      <c r="BH21" s="81">
        <f t="shared" si="57"/>
        <v>0</v>
      </c>
      <c r="BI21" s="1">
        <v>0</v>
      </c>
      <c r="BJ21" s="78">
        <f t="shared" si="58"/>
        <v>0</v>
      </c>
      <c r="BK21" s="98" t="s">
        <v>14</v>
      </c>
      <c r="BL21" s="81">
        <f t="shared" si="59"/>
        <v>0</v>
      </c>
      <c r="BM21" s="1">
        <v>1</v>
      </c>
      <c r="BN21" s="78">
        <f t="shared" si="60"/>
        <v>1</v>
      </c>
      <c r="BO21" s="95">
        <f t="shared" si="61"/>
        <v>2</v>
      </c>
      <c r="BP21" s="103" t="s">
        <v>32</v>
      </c>
      <c r="BQ21" s="84">
        <f t="shared" ca="1" si="62"/>
        <v>1.2647058823529413</v>
      </c>
      <c r="BR21" s="41">
        <f ca="1">IF(BP21="Out", $C21)</f>
        <v>0.3235294117647059</v>
      </c>
      <c r="BS21" s="113">
        <f t="shared" ca="1" si="63"/>
        <v>1.5882352941176472</v>
      </c>
      <c r="BT21" s="103" t="s">
        <v>32</v>
      </c>
      <c r="BU21" s="84">
        <f t="shared" ca="1" si="64"/>
        <v>1.2647058823529413</v>
      </c>
      <c r="BV21" s="41">
        <f ca="1">IF(BT21="Out", $C21)</f>
        <v>0.3235294117647059</v>
      </c>
      <c r="BW21" s="113">
        <f t="shared" ca="1" si="65"/>
        <v>1.5882352941176472</v>
      </c>
      <c r="BX21" s="103" t="s">
        <v>32</v>
      </c>
      <c r="BY21" s="84">
        <f t="shared" ca="1" si="66"/>
        <v>1.2647058823529413</v>
      </c>
      <c r="BZ21" s="41">
        <f ca="1">IF(BX21="Out", $C21)</f>
        <v>0.3235294117647059</v>
      </c>
      <c r="CA21" s="113">
        <f t="shared" ca="1" si="67"/>
        <v>1.5882352941176472</v>
      </c>
      <c r="CB21" s="103" t="s">
        <v>32</v>
      </c>
      <c r="CC21" s="84">
        <f t="shared" ca="1" si="68"/>
        <v>1.2647058823529413</v>
      </c>
      <c r="CD21" s="41">
        <f ca="1">IF(CB21="Out", $C21)</f>
        <v>0.3235294117647059</v>
      </c>
      <c r="CE21" s="113">
        <f t="shared" ca="1" si="69"/>
        <v>1.5882352941176472</v>
      </c>
      <c r="CF21" s="103" t="s">
        <v>32</v>
      </c>
      <c r="CG21" s="84">
        <f t="shared" ca="1" si="70"/>
        <v>1.2647058823529413</v>
      </c>
      <c r="CH21" s="41">
        <f ca="1">IF(CF21="Out", $C21)</f>
        <v>0.3235294117647059</v>
      </c>
      <c r="CI21" s="113">
        <f t="shared" ca="1" si="71"/>
        <v>1.5882352941176472</v>
      </c>
      <c r="CJ21" s="152">
        <f t="shared" ca="1" si="72"/>
        <v>7.9411764705882355</v>
      </c>
      <c r="CK21" s="1" t="s">
        <v>11</v>
      </c>
      <c r="CL21" s="81">
        <f t="shared" si="73"/>
        <v>0</v>
      </c>
      <c r="CM21" s="1">
        <v>0</v>
      </c>
      <c r="CN21" s="112">
        <f t="shared" si="74"/>
        <v>0</v>
      </c>
      <c r="CO21" s="1" t="s">
        <v>14</v>
      </c>
      <c r="CP21" s="81">
        <f t="shared" si="75"/>
        <v>0</v>
      </c>
      <c r="CQ21" s="1">
        <v>0</v>
      </c>
      <c r="CR21" s="112">
        <f t="shared" si="76"/>
        <v>0</v>
      </c>
      <c r="CS21" s="1" t="s">
        <v>14</v>
      </c>
      <c r="CT21" s="81">
        <f t="shared" si="77"/>
        <v>0</v>
      </c>
      <c r="CU21" s="1">
        <v>0</v>
      </c>
      <c r="CV21" s="112">
        <f t="shared" si="78"/>
        <v>0</v>
      </c>
      <c r="CW21" s="1" t="s">
        <v>15</v>
      </c>
      <c r="CX21" s="81">
        <f t="shared" si="79"/>
        <v>0</v>
      </c>
      <c r="CY21" s="1">
        <v>0</v>
      </c>
      <c r="CZ21" s="112">
        <f t="shared" si="80"/>
        <v>0</v>
      </c>
      <c r="DA21" s="1" t="s">
        <v>12</v>
      </c>
      <c r="DB21" s="81">
        <f t="shared" si="81"/>
        <v>0</v>
      </c>
      <c r="DC21" s="1">
        <v>1</v>
      </c>
      <c r="DD21" s="112">
        <f t="shared" si="82"/>
        <v>1</v>
      </c>
      <c r="DE21" s="152">
        <f t="shared" si="83"/>
        <v>1</v>
      </c>
      <c r="DF21" s="1" t="s">
        <v>15</v>
      </c>
      <c r="DG21" s="81">
        <f t="shared" si="4"/>
        <v>3</v>
      </c>
      <c r="DH21" s="1">
        <v>1</v>
      </c>
      <c r="DI21" s="112">
        <f t="shared" si="5"/>
        <v>4</v>
      </c>
      <c r="DJ21" s="1" t="s">
        <v>11</v>
      </c>
      <c r="DK21" s="81">
        <f t="shared" si="6"/>
        <v>3</v>
      </c>
      <c r="DL21" s="1">
        <v>1</v>
      </c>
      <c r="DM21" s="112">
        <f t="shared" si="7"/>
        <v>4</v>
      </c>
      <c r="DN21" s="1" t="s">
        <v>15</v>
      </c>
      <c r="DO21" s="81">
        <f t="shared" si="8"/>
        <v>0</v>
      </c>
      <c r="DP21" s="1">
        <v>0</v>
      </c>
      <c r="DQ21" s="112">
        <f t="shared" si="9"/>
        <v>0</v>
      </c>
      <c r="DR21" s="1" t="s">
        <v>15</v>
      </c>
      <c r="DS21" s="81">
        <f t="shared" si="10"/>
        <v>3</v>
      </c>
      <c r="DT21" s="1">
        <v>0</v>
      </c>
      <c r="DU21" s="112">
        <f t="shared" si="11"/>
        <v>3</v>
      </c>
      <c r="DV21" s="1" t="s">
        <v>14</v>
      </c>
      <c r="DW21" s="81">
        <f t="shared" si="12"/>
        <v>3</v>
      </c>
      <c r="DX21" s="1">
        <v>2</v>
      </c>
      <c r="DY21" s="112">
        <f t="shared" si="13"/>
        <v>5</v>
      </c>
      <c r="DZ21" s="152">
        <f t="shared" si="84"/>
        <v>16</v>
      </c>
      <c r="EA21" s="185" t="s">
        <v>12</v>
      </c>
      <c r="EB21" s="184">
        <f t="shared" si="14"/>
        <v>1</v>
      </c>
      <c r="EC21" s="185">
        <v>2</v>
      </c>
      <c r="ED21" s="112">
        <f t="shared" si="15"/>
        <v>3</v>
      </c>
      <c r="EE21" s="185" t="s">
        <v>14</v>
      </c>
      <c r="EF21" s="184">
        <f t="shared" si="16"/>
        <v>0</v>
      </c>
      <c r="EG21" s="185">
        <v>0</v>
      </c>
      <c r="EH21" s="112">
        <f t="shared" si="17"/>
        <v>0</v>
      </c>
      <c r="EI21" s="185" t="s">
        <v>12</v>
      </c>
      <c r="EJ21" s="184">
        <f t="shared" si="18"/>
        <v>0</v>
      </c>
      <c r="EK21" s="185">
        <v>0</v>
      </c>
      <c r="EL21" s="112">
        <f t="shared" si="19"/>
        <v>0</v>
      </c>
      <c r="EM21" s="185" t="s">
        <v>12</v>
      </c>
      <c r="EN21" s="184">
        <f t="shared" si="20"/>
        <v>3</v>
      </c>
      <c r="EO21" s="185">
        <v>0</v>
      </c>
      <c r="EP21" s="112">
        <f t="shared" si="21"/>
        <v>3</v>
      </c>
      <c r="EQ21" s="185" t="s">
        <v>12</v>
      </c>
      <c r="ER21" s="184">
        <f t="shared" si="22"/>
        <v>3</v>
      </c>
      <c r="ES21" s="185">
        <v>0</v>
      </c>
      <c r="ET21" s="112">
        <f t="shared" si="23"/>
        <v>3</v>
      </c>
      <c r="EU21" s="152">
        <f t="shared" si="85"/>
        <v>9</v>
      </c>
      <c r="EV21" s="1" t="s">
        <v>11</v>
      </c>
      <c r="EW21" s="184">
        <f t="shared" si="24"/>
        <v>0</v>
      </c>
      <c r="EX21" s="1">
        <v>0</v>
      </c>
      <c r="EY21" s="112">
        <f t="shared" si="25"/>
        <v>0</v>
      </c>
      <c r="EZ21" s="1" t="s">
        <v>15</v>
      </c>
      <c r="FA21" s="184">
        <f t="shared" si="26"/>
        <v>3</v>
      </c>
      <c r="FB21" s="1">
        <v>0</v>
      </c>
      <c r="FC21" s="112">
        <f t="shared" si="27"/>
        <v>3</v>
      </c>
      <c r="FD21" s="1" t="s">
        <v>15</v>
      </c>
      <c r="FE21" s="184">
        <f t="shared" si="28"/>
        <v>3</v>
      </c>
      <c r="FF21" s="1">
        <v>0</v>
      </c>
      <c r="FG21" s="112">
        <f t="shared" si="29"/>
        <v>3</v>
      </c>
      <c r="FH21" s="1" t="s">
        <v>14</v>
      </c>
      <c r="FI21" s="184">
        <f t="shared" si="30"/>
        <v>1</v>
      </c>
      <c r="FJ21" s="1">
        <v>0</v>
      </c>
      <c r="FK21" s="112">
        <f t="shared" si="31"/>
        <v>1</v>
      </c>
      <c r="FL21" s="152">
        <f t="shared" si="86"/>
        <v>16</v>
      </c>
    </row>
    <row r="22" spans="1:168" x14ac:dyDescent="0.2">
      <c r="A22" s="3" t="s">
        <v>58</v>
      </c>
      <c r="B22" s="4" t="s">
        <v>59</v>
      </c>
      <c r="C22" s="65">
        <f t="shared" ca="1" si="32"/>
        <v>0.3928571428571429</v>
      </c>
      <c r="D22" s="65">
        <f t="shared" ca="1" si="33"/>
        <v>1.25</v>
      </c>
      <c r="E22" s="15" t="s">
        <v>15</v>
      </c>
      <c r="F22" s="16">
        <f t="shared" si="0"/>
        <v>0</v>
      </c>
      <c r="G22" s="1">
        <v>0</v>
      </c>
      <c r="H22" s="1">
        <f t="shared" si="34"/>
        <v>0</v>
      </c>
      <c r="I22" s="15" t="s">
        <v>12</v>
      </c>
      <c r="J22" s="16">
        <f t="shared" si="1"/>
        <v>3</v>
      </c>
      <c r="K22" s="78">
        <v>0</v>
      </c>
      <c r="L22" s="1">
        <f t="shared" si="35"/>
        <v>3</v>
      </c>
      <c r="M22" s="15" t="s">
        <v>15</v>
      </c>
      <c r="N22" s="16">
        <f t="shared" si="2"/>
        <v>0</v>
      </c>
      <c r="O22" s="1">
        <v>0</v>
      </c>
      <c r="P22" s="1">
        <f t="shared" si="36"/>
        <v>0</v>
      </c>
      <c r="Q22" s="15" t="s">
        <v>11</v>
      </c>
      <c r="R22" s="16">
        <f t="shared" si="3"/>
        <v>0</v>
      </c>
      <c r="S22" s="1">
        <v>1</v>
      </c>
      <c r="T22" s="1">
        <f t="shared" si="37"/>
        <v>1</v>
      </c>
      <c r="U22" s="15" t="s">
        <v>14</v>
      </c>
      <c r="V22" s="16">
        <f t="shared" si="38"/>
        <v>3</v>
      </c>
      <c r="W22" s="1">
        <v>1</v>
      </c>
      <c r="X22" s="1">
        <f t="shared" si="39"/>
        <v>4</v>
      </c>
      <c r="Y22" s="95">
        <f t="shared" si="40"/>
        <v>8</v>
      </c>
      <c r="Z22" s="28" t="s">
        <v>12</v>
      </c>
      <c r="AA22" s="81">
        <f t="shared" si="87"/>
        <v>3</v>
      </c>
      <c r="AB22" s="87">
        <v>1</v>
      </c>
      <c r="AC22" s="78">
        <f t="shared" si="41"/>
        <v>4</v>
      </c>
      <c r="AD22" s="28" t="s">
        <v>12</v>
      </c>
      <c r="AE22" s="16">
        <f t="shared" si="42"/>
        <v>0</v>
      </c>
      <c r="AF22" s="27">
        <v>1</v>
      </c>
      <c r="AG22" s="1">
        <f t="shared" si="43"/>
        <v>1</v>
      </c>
      <c r="AH22" s="28" t="s">
        <v>14</v>
      </c>
      <c r="AI22" s="16">
        <f t="shared" si="44"/>
        <v>0</v>
      </c>
      <c r="AJ22" s="27">
        <v>0</v>
      </c>
      <c r="AK22" s="17">
        <f t="shared" si="45"/>
        <v>0</v>
      </c>
      <c r="AL22" s="27" t="s">
        <v>12</v>
      </c>
      <c r="AM22" s="16">
        <f t="shared" si="46"/>
        <v>0</v>
      </c>
      <c r="AN22" s="27">
        <v>0</v>
      </c>
      <c r="AO22" s="1">
        <f t="shared" si="47"/>
        <v>0</v>
      </c>
      <c r="AP22" s="28" t="s">
        <v>14</v>
      </c>
      <c r="AQ22" s="16">
        <f t="shared" si="48"/>
        <v>3</v>
      </c>
      <c r="AR22" s="27">
        <v>1</v>
      </c>
      <c r="AS22" s="1">
        <f t="shared" si="49"/>
        <v>4</v>
      </c>
      <c r="AT22" s="95">
        <f t="shared" si="50"/>
        <v>9</v>
      </c>
      <c r="AU22" s="103" t="s">
        <v>32</v>
      </c>
      <c r="AV22" s="84">
        <f t="shared" ca="1" si="51"/>
        <v>1.25</v>
      </c>
      <c r="AW22" s="41">
        <f ca="1">IF(AU22="Out", $C22)</f>
        <v>0.3928571428571429</v>
      </c>
      <c r="AX22" s="113">
        <f t="shared" ca="1" si="52"/>
        <v>1.6428571428571428</v>
      </c>
      <c r="AY22" s="1" t="s">
        <v>15</v>
      </c>
      <c r="AZ22" s="81">
        <f t="shared" si="53"/>
        <v>0</v>
      </c>
      <c r="BA22" s="1">
        <v>0</v>
      </c>
      <c r="BB22" s="112">
        <f t="shared" si="54"/>
        <v>0</v>
      </c>
      <c r="BC22" s="1" t="s">
        <v>15</v>
      </c>
      <c r="BD22" s="81">
        <f t="shared" si="55"/>
        <v>1</v>
      </c>
      <c r="BE22" s="1">
        <v>0</v>
      </c>
      <c r="BF22" s="78">
        <f t="shared" si="56"/>
        <v>1</v>
      </c>
      <c r="BG22" s="98" t="s">
        <v>11</v>
      </c>
      <c r="BH22" s="81">
        <f t="shared" si="57"/>
        <v>3</v>
      </c>
      <c r="BI22" s="1">
        <v>0</v>
      </c>
      <c r="BJ22" s="78">
        <f t="shared" si="58"/>
        <v>3</v>
      </c>
      <c r="BK22" s="98" t="s">
        <v>14</v>
      </c>
      <c r="BL22" s="81">
        <f t="shared" si="59"/>
        <v>0</v>
      </c>
      <c r="BM22" s="1">
        <v>0</v>
      </c>
      <c r="BN22" s="78">
        <f t="shared" si="60"/>
        <v>0</v>
      </c>
      <c r="BO22" s="95">
        <f t="shared" ca="1" si="61"/>
        <v>5.6428571428571423</v>
      </c>
      <c r="BP22" s="103" t="s">
        <v>32</v>
      </c>
      <c r="BQ22" s="84">
        <f t="shared" ca="1" si="62"/>
        <v>1.25</v>
      </c>
      <c r="BR22" s="41">
        <f ca="1">IF(BP22="Out", $C22)</f>
        <v>0.3928571428571429</v>
      </c>
      <c r="BS22" s="113">
        <f t="shared" ca="1" si="63"/>
        <v>1.6428571428571428</v>
      </c>
      <c r="BT22" s="103" t="s">
        <v>32</v>
      </c>
      <c r="BU22" s="84">
        <f t="shared" ca="1" si="64"/>
        <v>1.25</v>
      </c>
      <c r="BV22" s="41">
        <f ca="1">IF(BT22="Out", $C22)</f>
        <v>0.3928571428571429</v>
      </c>
      <c r="BW22" s="113">
        <f t="shared" ca="1" si="65"/>
        <v>1.6428571428571428</v>
      </c>
      <c r="BX22" s="103" t="s">
        <v>32</v>
      </c>
      <c r="BY22" s="84">
        <f t="shared" ca="1" si="66"/>
        <v>1.25</v>
      </c>
      <c r="BZ22" s="41">
        <f ca="1">IF(BX22="Out", $C22)</f>
        <v>0.3928571428571429</v>
      </c>
      <c r="CA22" s="113">
        <f t="shared" ca="1" si="67"/>
        <v>1.6428571428571428</v>
      </c>
      <c r="CB22" s="103" t="s">
        <v>32</v>
      </c>
      <c r="CC22" s="84">
        <f t="shared" ca="1" si="68"/>
        <v>1.25</v>
      </c>
      <c r="CD22" s="41">
        <f ca="1">IF(CB22="Out", $C22)</f>
        <v>0.3928571428571429</v>
      </c>
      <c r="CE22" s="113">
        <f t="shared" ca="1" si="69"/>
        <v>1.6428571428571428</v>
      </c>
      <c r="CF22" s="103" t="s">
        <v>32</v>
      </c>
      <c r="CG22" s="84">
        <f t="shared" ca="1" si="70"/>
        <v>1.25</v>
      </c>
      <c r="CH22" s="41">
        <f ca="1">IF(CF22="Out", $C22)</f>
        <v>0.3928571428571429</v>
      </c>
      <c r="CI22" s="113">
        <f t="shared" ca="1" si="71"/>
        <v>1.6428571428571428</v>
      </c>
      <c r="CJ22" s="152">
        <f t="shared" ca="1" si="72"/>
        <v>8.2142857142857135</v>
      </c>
      <c r="CK22" s="42" t="s">
        <v>32</v>
      </c>
      <c r="CL22" s="84">
        <f t="shared" ca="1" si="73"/>
        <v>1.25</v>
      </c>
      <c r="CM22" s="41">
        <f ca="1">IF(CK22="Out", $C22)</f>
        <v>0.3928571428571429</v>
      </c>
      <c r="CN22" s="113">
        <f t="shared" ca="1" si="74"/>
        <v>1.6428571428571428</v>
      </c>
      <c r="CO22" s="42" t="s">
        <v>32</v>
      </c>
      <c r="CP22" s="84">
        <f t="shared" ca="1" si="75"/>
        <v>1.25</v>
      </c>
      <c r="CQ22" s="41">
        <f ca="1">IF(CO22="Out", $C22)</f>
        <v>0.3928571428571429</v>
      </c>
      <c r="CR22" s="113">
        <f t="shared" ca="1" si="76"/>
        <v>1.6428571428571428</v>
      </c>
      <c r="CS22" s="42" t="s">
        <v>32</v>
      </c>
      <c r="CT22" s="84">
        <f t="shared" ca="1" si="77"/>
        <v>1.25</v>
      </c>
      <c r="CU22" s="41">
        <f ca="1">IF(CS22="Out", $C22)</f>
        <v>0.3928571428571429</v>
      </c>
      <c r="CV22" s="113">
        <f t="shared" ca="1" si="78"/>
        <v>1.6428571428571428</v>
      </c>
      <c r="CW22" s="42" t="s">
        <v>32</v>
      </c>
      <c r="CX22" s="84">
        <f t="shared" ca="1" si="79"/>
        <v>1.25</v>
      </c>
      <c r="CY22" s="41">
        <f ca="1">IF(CW22="Out", $C22)</f>
        <v>0.3928571428571429</v>
      </c>
      <c r="CZ22" s="113">
        <f t="shared" ca="1" si="80"/>
        <v>1.6428571428571428</v>
      </c>
      <c r="DA22" s="42" t="s">
        <v>32</v>
      </c>
      <c r="DB22" s="84">
        <f t="shared" ca="1" si="81"/>
        <v>1.25</v>
      </c>
      <c r="DC22" s="41">
        <f ca="1">IF(DA22="Out", $C22)</f>
        <v>0.3928571428571429</v>
      </c>
      <c r="DD22" s="113">
        <f t="shared" ca="1" si="82"/>
        <v>1.6428571428571428</v>
      </c>
      <c r="DE22" s="152">
        <f t="shared" ca="1" si="83"/>
        <v>8.2142857142857135</v>
      </c>
      <c r="DF22" s="1" t="s">
        <v>15</v>
      </c>
      <c r="DG22" s="81">
        <f t="shared" si="4"/>
        <v>3</v>
      </c>
      <c r="DH22" s="1">
        <v>1</v>
      </c>
      <c r="DI22" s="112">
        <f t="shared" si="5"/>
        <v>4</v>
      </c>
      <c r="DJ22" s="1" t="s">
        <v>12</v>
      </c>
      <c r="DK22" s="81">
        <f t="shared" si="6"/>
        <v>0</v>
      </c>
      <c r="DL22" s="1">
        <v>0</v>
      </c>
      <c r="DM22" s="112">
        <f t="shared" si="7"/>
        <v>0</v>
      </c>
      <c r="DN22" s="1" t="s">
        <v>15</v>
      </c>
      <c r="DO22" s="81">
        <f t="shared" si="8"/>
        <v>0</v>
      </c>
      <c r="DP22" s="1">
        <v>2</v>
      </c>
      <c r="DQ22" s="112">
        <f t="shared" si="9"/>
        <v>2</v>
      </c>
      <c r="DR22" s="1" t="s">
        <v>15</v>
      </c>
      <c r="DS22" s="81">
        <f t="shared" si="10"/>
        <v>3</v>
      </c>
      <c r="DT22" s="1">
        <v>1</v>
      </c>
      <c r="DU22" s="112">
        <f t="shared" si="11"/>
        <v>4</v>
      </c>
      <c r="DV22" s="1" t="s">
        <v>14</v>
      </c>
      <c r="DW22" s="81">
        <f t="shared" si="12"/>
        <v>3</v>
      </c>
      <c r="DX22" s="1">
        <v>1</v>
      </c>
      <c r="DY22" s="112">
        <f t="shared" si="13"/>
        <v>4</v>
      </c>
      <c r="DZ22" s="152">
        <f t="shared" si="84"/>
        <v>14</v>
      </c>
      <c r="EA22" s="185" t="s">
        <v>12</v>
      </c>
      <c r="EB22" s="184">
        <f t="shared" si="14"/>
        <v>1</v>
      </c>
      <c r="EC22" s="185">
        <v>1</v>
      </c>
      <c r="ED22" s="112">
        <f t="shared" si="15"/>
        <v>2</v>
      </c>
      <c r="EE22" s="185" t="s">
        <v>11</v>
      </c>
      <c r="EF22" s="184">
        <f t="shared" si="16"/>
        <v>3</v>
      </c>
      <c r="EG22" s="185">
        <v>0</v>
      </c>
      <c r="EH22" s="112">
        <f t="shared" si="17"/>
        <v>3</v>
      </c>
      <c r="EI22" s="185" t="s">
        <v>12</v>
      </c>
      <c r="EJ22" s="184">
        <f t="shared" si="18"/>
        <v>0</v>
      </c>
      <c r="EK22" s="185">
        <v>0</v>
      </c>
      <c r="EL22" s="112">
        <f t="shared" si="19"/>
        <v>0</v>
      </c>
      <c r="EM22" s="185" t="s">
        <v>15</v>
      </c>
      <c r="EN22" s="184">
        <f t="shared" si="20"/>
        <v>1</v>
      </c>
      <c r="EO22" s="185">
        <v>0</v>
      </c>
      <c r="EP22" s="112">
        <f t="shared" si="21"/>
        <v>1</v>
      </c>
      <c r="EQ22" s="185" t="s">
        <v>11</v>
      </c>
      <c r="ER22" s="184">
        <f t="shared" si="22"/>
        <v>0</v>
      </c>
      <c r="ES22" s="185">
        <v>0</v>
      </c>
      <c r="ET22" s="112">
        <f t="shared" si="23"/>
        <v>0</v>
      </c>
      <c r="EU22" s="152">
        <f t="shared" si="85"/>
        <v>6</v>
      </c>
      <c r="EV22" s="1" t="s">
        <v>15</v>
      </c>
      <c r="EW22" s="184">
        <f t="shared" si="24"/>
        <v>1</v>
      </c>
      <c r="EX22" s="1">
        <v>0</v>
      </c>
      <c r="EY22" s="112">
        <f t="shared" si="25"/>
        <v>1</v>
      </c>
      <c r="EZ22" s="1" t="s">
        <v>11</v>
      </c>
      <c r="FA22" s="184">
        <f t="shared" si="26"/>
        <v>3</v>
      </c>
      <c r="FB22" s="1">
        <v>0</v>
      </c>
      <c r="FC22" s="112">
        <f t="shared" si="27"/>
        <v>3</v>
      </c>
      <c r="FD22" s="1" t="s">
        <v>12</v>
      </c>
      <c r="FE22" s="184">
        <f t="shared" si="28"/>
        <v>0</v>
      </c>
      <c r="FF22" s="1">
        <v>0</v>
      </c>
      <c r="FG22" s="112">
        <f t="shared" si="29"/>
        <v>0</v>
      </c>
      <c r="FH22" s="1" t="s">
        <v>14</v>
      </c>
      <c r="FI22" s="184">
        <f t="shared" si="30"/>
        <v>1</v>
      </c>
      <c r="FJ22" s="1">
        <v>0</v>
      </c>
      <c r="FK22" s="112">
        <f t="shared" si="31"/>
        <v>1</v>
      </c>
      <c r="FL22" s="152">
        <f t="shared" si="86"/>
        <v>11</v>
      </c>
    </row>
    <row r="23" spans="1:168" x14ac:dyDescent="0.2">
      <c r="A23" s="3" t="s">
        <v>60</v>
      </c>
      <c r="B23" s="4" t="s">
        <v>61</v>
      </c>
      <c r="C23" s="65">
        <f t="shared" ca="1" si="32"/>
        <v>0.6000000000000002</v>
      </c>
      <c r="D23" s="65">
        <f t="shared" ca="1" si="33"/>
        <v>1.8235294117647054</v>
      </c>
      <c r="E23" s="15" t="s">
        <v>11</v>
      </c>
      <c r="F23" s="16">
        <f t="shared" si="0"/>
        <v>0</v>
      </c>
      <c r="G23" s="1">
        <v>0</v>
      </c>
      <c r="H23" s="1">
        <f t="shared" si="34"/>
        <v>0</v>
      </c>
      <c r="I23" s="15" t="s">
        <v>14</v>
      </c>
      <c r="J23" s="16">
        <f t="shared" si="1"/>
        <v>3</v>
      </c>
      <c r="K23" s="78">
        <v>1</v>
      </c>
      <c r="L23" s="1">
        <f t="shared" si="35"/>
        <v>4</v>
      </c>
      <c r="M23" s="15" t="s">
        <v>11</v>
      </c>
      <c r="N23" s="16">
        <f t="shared" si="2"/>
        <v>0</v>
      </c>
      <c r="O23" s="1">
        <v>0</v>
      </c>
      <c r="P23" s="1">
        <f t="shared" si="36"/>
        <v>0</v>
      </c>
      <c r="Q23" s="15" t="s">
        <v>12</v>
      </c>
      <c r="R23" s="16">
        <f t="shared" si="3"/>
        <v>3</v>
      </c>
      <c r="S23" s="1">
        <v>1</v>
      </c>
      <c r="T23" s="1">
        <f t="shared" si="37"/>
        <v>4</v>
      </c>
      <c r="U23" s="15" t="s">
        <v>11</v>
      </c>
      <c r="V23" s="16">
        <f t="shared" si="38"/>
        <v>3</v>
      </c>
      <c r="W23" s="1">
        <v>1</v>
      </c>
      <c r="X23" s="1">
        <f t="shared" si="39"/>
        <v>4</v>
      </c>
      <c r="Y23" s="95">
        <f t="shared" si="40"/>
        <v>12</v>
      </c>
      <c r="Z23" s="28" t="s">
        <v>12</v>
      </c>
      <c r="AA23" s="81">
        <f t="shared" si="87"/>
        <v>3</v>
      </c>
      <c r="AB23" s="87">
        <v>0</v>
      </c>
      <c r="AC23" s="78">
        <f t="shared" si="41"/>
        <v>3</v>
      </c>
      <c r="AD23" s="28" t="s">
        <v>12</v>
      </c>
      <c r="AE23" s="16">
        <f t="shared" si="42"/>
        <v>0</v>
      </c>
      <c r="AF23" s="27">
        <v>0</v>
      </c>
      <c r="AG23" s="1">
        <f t="shared" si="43"/>
        <v>0</v>
      </c>
      <c r="AH23" s="28" t="s">
        <v>14</v>
      </c>
      <c r="AI23" s="16">
        <f t="shared" si="44"/>
        <v>0</v>
      </c>
      <c r="AJ23" s="27">
        <v>0</v>
      </c>
      <c r="AK23" s="17">
        <f t="shared" si="45"/>
        <v>0</v>
      </c>
      <c r="AL23" s="27" t="s">
        <v>11</v>
      </c>
      <c r="AM23" s="16">
        <f t="shared" si="46"/>
        <v>3</v>
      </c>
      <c r="AN23" s="27">
        <v>0</v>
      </c>
      <c r="AO23" s="1">
        <f t="shared" si="47"/>
        <v>3</v>
      </c>
      <c r="AP23" s="28" t="s">
        <v>11</v>
      </c>
      <c r="AQ23" s="16">
        <f t="shared" si="48"/>
        <v>0</v>
      </c>
      <c r="AR23" s="27">
        <v>0</v>
      </c>
      <c r="AS23" s="1">
        <f t="shared" si="49"/>
        <v>0</v>
      </c>
      <c r="AT23" s="95">
        <f t="shared" si="50"/>
        <v>6</v>
      </c>
      <c r="AU23" s="98" t="s">
        <v>12</v>
      </c>
      <c r="AV23" s="81">
        <f t="shared" si="51"/>
        <v>3</v>
      </c>
      <c r="AW23" s="1">
        <v>1</v>
      </c>
      <c r="AX23" s="112">
        <f t="shared" si="52"/>
        <v>4</v>
      </c>
      <c r="AY23" s="1" t="s">
        <v>14</v>
      </c>
      <c r="AZ23" s="81">
        <f t="shared" si="53"/>
        <v>3</v>
      </c>
      <c r="BA23" s="1">
        <v>0</v>
      </c>
      <c r="BB23" s="112">
        <f t="shared" si="54"/>
        <v>3</v>
      </c>
      <c r="BC23" s="1" t="s">
        <v>14</v>
      </c>
      <c r="BD23" s="81">
        <f t="shared" si="55"/>
        <v>1</v>
      </c>
      <c r="BE23" s="1">
        <v>0</v>
      </c>
      <c r="BF23" s="78">
        <f t="shared" si="56"/>
        <v>1</v>
      </c>
      <c r="BG23" s="98" t="s">
        <v>12</v>
      </c>
      <c r="BH23" s="81">
        <f t="shared" si="57"/>
        <v>0</v>
      </c>
      <c r="BI23" s="1">
        <v>0</v>
      </c>
      <c r="BJ23" s="78">
        <f t="shared" si="58"/>
        <v>0</v>
      </c>
      <c r="BK23" s="98" t="s">
        <v>14</v>
      </c>
      <c r="BL23" s="81">
        <f t="shared" si="59"/>
        <v>0</v>
      </c>
      <c r="BM23" s="1">
        <v>1</v>
      </c>
      <c r="BN23" s="78">
        <f t="shared" si="60"/>
        <v>1</v>
      </c>
      <c r="BO23" s="95">
        <f t="shared" si="61"/>
        <v>9</v>
      </c>
      <c r="BP23" s="98" t="s">
        <v>14</v>
      </c>
      <c r="BQ23" s="81">
        <f t="shared" si="62"/>
        <v>3</v>
      </c>
      <c r="BR23" s="1">
        <v>1</v>
      </c>
      <c r="BS23" s="112">
        <f t="shared" si="63"/>
        <v>4</v>
      </c>
      <c r="BT23" s="98" t="s">
        <v>12</v>
      </c>
      <c r="BU23" s="81">
        <f t="shared" si="64"/>
        <v>0</v>
      </c>
      <c r="BV23" s="1">
        <v>1</v>
      </c>
      <c r="BW23" s="112">
        <f t="shared" si="65"/>
        <v>1</v>
      </c>
      <c r="BX23" s="98" t="s">
        <v>12</v>
      </c>
      <c r="BY23" s="81">
        <f t="shared" si="66"/>
        <v>3</v>
      </c>
      <c r="BZ23" s="1">
        <v>0</v>
      </c>
      <c r="CA23" s="112">
        <f t="shared" si="67"/>
        <v>3</v>
      </c>
      <c r="CB23" s="98" t="s">
        <v>15</v>
      </c>
      <c r="CC23" s="81">
        <f t="shared" si="68"/>
        <v>3</v>
      </c>
      <c r="CD23" s="1">
        <v>1</v>
      </c>
      <c r="CE23" s="112">
        <f t="shared" si="69"/>
        <v>4</v>
      </c>
      <c r="CF23" s="98" t="s">
        <v>14</v>
      </c>
      <c r="CG23" s="81">
        <f t="shared" si="70"/>
        <v>0</v>
      </c>
      <c r="CH23" s="1">
        <v>0</v>
      </c>
      <c r="CI23" s="112">
        <f t="shared" si="71"/>
        <v>0</v>
      </c>
      <c r="CJ23" s="152">
        <f t="shared" si="72"/>
        <v>12</v>
      </c>
      <c r="CK23" s="1" t="s">
        <v>11</v>
      </c>
      <c r="CL23" s="81">
        <f t="shared" si="73"/>
        <v>0</v>
      </c>
      <c r="CM23" s="1">
        <v>0</v>
      </c>
      <c r="CN23" s="112">
        <f t="shared" si="74"/>
        <v>0</v>
      </c>
      <c r="CO23" s="1" t="s">
        <v>15</v>
      </c>
      <c r="CP23" s="81">
        <f t="shared" si="75"/>
        <v>3</v>
      </c>
      <c r="CQ23" s="1">
        <v>0</v>
      </c>
      <c r="CR23" s="112">
        <f t="shared" si="76"/>
        <v>3</v>
      </c>
      <c r="CS23" s="1" t="s">
        <v>15</v>
      </c>
      <c r="CT23" s="81">
        <f t="shared" si="77"/>
        <v>3</v>
      </c>
      <c r="CU23" s="1">
        <v>0</v>
      </c>
      <c r="CV23" s="112">
        <f t="shared" si="78"/>
        <v>3</v>
      </c>
      <c r="CW23" s="1" t="s">
        <v>11</v>
      </c>
      <c r="CX23" s="81">
        <f t="shared" si="79"/>
        <v>3</v>
      </c>
      <c r="CY23" s="1">
        <v>2</v>
      </c>
      <c r="CZ23" s="112">
        <f t="shared" si="80"/>
        <v>5</v>
      </c>
      <c r="DA23" s="1" t="s">
        <v>14</v>
      </c>
      <c r="DB23" s="81">
        <f t="shared" si="81"/>
        <v>1</v>
      </c>
      <c r="DC23" s="1">
        <v>1</v>
      </c>
      <c r="DD23" s="112">
        <f t="shared" si="82"/>
        <v>2</v>
      </c>
      <c r="DE23" s="152">
        <f t="shared" si="83"/>
        <v>13</v>
      </c>
      <c r="DF23" s="1" t="s">
        <v>14</v>
      </c>
      <c r="DG23" s="81">
        <f t="shared" si="4"/>
        <v>0</v>
      </c>
      <c r="DH23" s="1">
        <v>1</v>
      </c>
      <c r="DI23" s="112">
        <f t="shared" si="5"/>
        <v>1</v>
      </c>
      <c r="DJ23" s="1" t="s">
        <v>11</v>
      </c>
      <c r="DK23" s="81">
        <f t="shared" si="6"/>
        <v>3</v>
      </c>
      <c r="DL23" s="1">
        <v>2</v>
      </c>
      <c r="DM23" s="112">
        <f t="shared" si="7"/>
        <v>5</v>
      </c>
      <c r="DN23" s="1" t="s">
        <v>11</v>
      </c>
      <c r="DO23" s="81">
        <f t="shared" si="8"/>
        <v>3</v>
      </c>
      <c r="DP23" s="1">
        <v>0</v>
      </c>
      <c r="DQ23" s="112">
        <f t="shared" si="9"/>
        <v>3</v>
      </c>
      <c r="DR23" s="1" t="s">
        <v>15</v>
      </c>
      <c r="DS23" s="81">
        <f t="shared" si="10"/>
        <v>3</v>
      </c>
      <c r="DT23" s="1">
        <v>1</v>
      </c>
      <c r="DU23" s="112">
        <f t="shared" si="11"/>
        <v>4</v>
      </c>
      <c r="DV23" s="1" t="s">
        <v>14</v>
      </c>
      <c r="DW23" s="81">
        <f t="shared" si="12"/>
        <v>3</v>
      </c>
      <c r="DX23" s="1">
        <v>2</v>
      </c>
      <c r="DY23" s="112">
        <f t="shared" si="13"/>
        <v>5</v>
      </c>
      <c r="DZ23" s="152">
        <f t="shared" si="84"/>
        <v>18</v>
      </c>
      <c r="EA23" s="186" t="s">
        <v>32</v>
      </c>
      <c r="EB23" s="187">
        <f t="shared" ca="1" si="14"/>
        <v>1.8235294117647054</v>
      </c>
      <c r="EC23" s="41">
        <f ca="1">IF(EA23="Out", $C23)</f>
        <v>0.6000000000000002</v>
      </c>
      <c r="ED23" s="113">
        <f t="shared" ca="1" si="15"/>
        <v>2.4235294117647057</v>
      </c>
      <c r="EE23" s="186" t="s">
        <v>32</v>
      </c>
      <c r="EF23" s="187">
        <f t="shared" ca="1" si="16"/>
        <v>1.8235294117647054</v>
      </c>
      <c r="EG23" s="186">
        <v>0</v>
      </c>
      <c r="EH23" s="113">
        <f t="shared" ca="1" si="17"/>
        <v>1.8235294117647054</v>
      </c>
      <c r="EI23" s="186" t="s">
        <v>32</v>
      </c>
      <c r="EJ23" s="187">
        <f t="shared" ca="1" si="18"/>
        <v>1.8235294117647054</v>
      </c>
      <c r="EK23" s="41">
        <f ca="1">IF(EI23="Out", $C23)</f>
        <v>0.6000000000000002</v>
      </c>
      <c r="EL23" s="113">
        <f t="shared" ca="1" si="19"/>
        <v>2.4235294117647057</v>
      </c>
      <c r="EM23" s="186" t="s">
        <v>32</v>
      </c>
      <c r="EN23" s="187">
        <f t="shared" ca="1" si="20"/>
        <v>1.8235294117647054</v>
      </c>
      <c r="EO23" s="41">
        <f ca="1">IF(EM23="Out", $C23)</f>
        <v>0.6000000000000002</v>
      </c>
      <c r="EP23" s="113">
        <f t="shared" ca="1" si="21"/>
        <v>2.4235294117647057</v>
      </c>
      <c r="EQ23" s="186" t="s">
        <v>32</v>
      </c>
      <c r="ER23" s="187">
        <f t="shared" ca="1" si="22"/>
        <v>1.8235294117647054</v>
      </c>
      <c r="ES23" s="41">
        <f ca="1">IF(EQ23="Out", $C23)</f>
        <v>0.6000000000000002</v>
      </c>
      <c r="ET23" s="113">
        <f t="shared" ca="1" si="23"/>
        <v>2.4235294117647057</v>
      </c>
      <c r="EU23" s="152">
        <f t="shared" ca="1" si="85"/>
        <v>11.517647058823529</v>
      </c>
      <c r="EV23" s="1" t="s">
        <v>11</v>
      </c>
      <c r="EW23" s="184">
        <f t="shared" si="24"/>
        <v>0</v>
      </c>
      <c r="EX23" s="1">
        <v>1</v>
      </c>
      <c r="EY23" s="112">
        <f t="shared" si="25"/>
        <v>1</v>
      </c>
      <c r="EZ23" s="1" t="s">
        <v>15</v>
      </c>
      <c r="FA23" s="184">
        <f t="shared" si="26"/>
        <v>3</v>
      </c>
      <c r="FB23" s="1">
        <v>3</v>
      </c>
      <c r="FC23" s="112">
        <f t="shared" si="27"/>
        <v>6</v>
      </c>
      <c r="FD23" s="1" t="s">
        <v>11</v>
      </c>
      <c r="FE23" s="184">
        <f t="shared" si="28"/>
        <v>3</v>
      </c>
      <c r="FF23" s="1">
        <v>0</v>
      </c>
      <c r="FG23" s="112">
        <f t="shared" si="29"/>
        <v>3</v>
      </c>
      <c r="FH23" s="1" t="s">
        <v>12</v>
      </c>
      <c r="FI23" s="184">
        <f t="shared" si="30"/>
        <v>3</v>
      </c>
      <c r="FJ23" s="1">
        <v>0</v>
      </c>
      <c r="FK23" s="112">
        <f t="shared" si="31"/>
        <v>3</v>
      </c>
      <c r="FL23" s="152">
        <f t="shared" ca="1" si="86"/>
        <v>24.517647058823528</v>
      </c>
    </row>
    <row r="24" spans="1:168" x14ac:dyDescent="0.2">
      <c r="A24" s="3" t="s">
        <v>62</v>
      </c>
      <c r="B24" s="4" t="s">
        <v>63</v>
      </c>
      <c r="C24" s="65">
        <f t="shared" si="32"/>
        <v>0.89743589743589747</v>
      </c>
      <c r="D24" s="65">
        <f t="shared" si="33"/>
        <v>2.2564102564102564</v>
      </c>
      <c r="E24" s="15" t="s">
        <v>12</v>
      </c>
      <c r="F24" s="16">
        <f t="shared" si="0"/>
        <v>3</v>
      </c>
      <c r="G24" s="1">
        <v>0</v>
      </c>
      <c r="H24" s="1">
        <f t="shared" si="34"/>
        <v>3</v>
      </c>
      <c r="I24" s="15" t="s">
        <v>12</v>
      </c>
      <c r="J24" s="16">
        <f t="shared" si="1"/>
        <v>3</v>
      </c>
      <c r="K24" s="78">
        <v>3</v>
      </c>
      <c r="L24" s="1">
        <f t="shared" si="35"/>
        <v>6</v>
      </c>
      <c r="M24" s="15" t="s">
        <v>15</v>
      </c>
      <c r="N24" s="16">
        <f t="shared" si="2"/>
        <v>0</v>
      </c>
      <c r="O24" s="1">
        <v>0</v>
      </c>
      <c r="P24" s="1">
        <f t="shared" si="36"/>
        <v>0</v>
      </c>
      <c r="Q24" s="15" t="s">
        <v>12</v>
      </c>
      <c r="R24" s="16">
        <f t="shared" si="3"/>
        <v>3</v>
      </c>
      <c r="S24" s="1">
        <v>1</v>
      </c>
      <c r="T24" s="1">
        <f t="shared" si="37"/>
        <v>4</v>
      </c>
      <c r="U24" s="15" t="s">
        <v>14</v>
      </c>
      <c r="V24" s="16">
        <f t="shared" si="38"/>
        <v>3</v>
      </c>
      <c r="W24" s="1">
        <v>2</v>
      </c>
      <c r="X24" s="1">
        <f t="shared" si="39"/>
        <v>5</v>
      </c>
      <c r="Y24" s="95">
        <f t="shared" si="40"/>
        <v>18</v>
      </c>
      <c r="Z24" s="28" t="s">
        <v>15</v>
      </c>
      <c r="AA24" s="81">
        <f t="shared" si="87"/>
        <v>3</v>
      </c>
      <c r="AB24" s="87">
        <v>1</v>
      </c>
      <c r="AC24" s="78">
        <f t="shared" si="41"/>
        <v>4</v>
      </c>
      <c r="AD24" s="28" t="s">
        <v>15</v>
      </c>
      <c r="AE24" s="16">
        <f t="shared" si="42"/>
        <v>3</v>
      </c>
      <c r="AF24" s="27">
        <v>0</v>
      </c>
      <c r="AG24" s="1">
        <f t="shared" si="43"/>
        <v>3</v>
      </c>
      <c r="AH24" s="28" t="s">
        <v>15</v>
      </c>
      <c r="AI24" s="16">
        <f t="shared" si="44"/>
        <v>3</v>
      </c>
      <c r="AJ24" s="27">
        <v>0</v>
      </c>
      <c r="AK24" s="17">
        <f t="shared" si="45"/>
        <v>3</v>
      </c>
      <c r="AL24" s="27" t="s">
        <v>11</v>
      </c>
      <c r="AM24" s="16">
        <f t="shared" si="46"/>
        <v>3</v>
      </c>
      <c r="AN24" s="27">
        <v>1</v>
      </c>
      <c r="AO24" s="1">
        <f t="shared" si="47"/>
        <v>4</v>
      </c>
      <c r="AP24" s="28" t="s">
        <v>14</v>
      </c>
      <c r="AQ24" s="16">
        <f t="shared" si="48"/>
        <v>3</v>
      </c>
      <c r="AR24" s="27">
        <v>1</v>
      </c>
      <c r="AS24" s="1">
        <f t="shared" si="49"/>
        <v>4</v>
      </c>
      <c r="AT24" s="95">
        <f t="shared" si="50"/>
        <v>18</v>
      </c>
      <c r="AU24" s="98" t="s">
        <v>15</v>
      </c>
      <c r="AV24" s="81">
        <f t="shared" si="51"/>
        <v>0</v>
      </c>
      <c r="AW24" s="1">
        <v>0</v>
      </c>
      <c r="AX24" s="112">
        <f t="shared" si="52"/>
        <v>0</v>
      </c>
      <c r="AY24" s="1" t="s">
        <v>12</v>
      </c>
      <c r="AZ24" s="81">
        <f t="shared" si="53"/>
        <v>1</v>
      </c>
      <c r="BA24" s="1">
        <v>1</v>
      </c>
      <c r="BB24" s="112">
        <f t="shared" si="54"/>
        <v>2</v>
      </c>
      <c r="BC24" s="1" t="s">
        <v>15</v>
      </c>
      <c r="BD24" s="81">
        <f t="shared" si="55"/>
        <v>1</v>
      </c>
      <c r="BE24" s="1">
        <v>1</v>
      </c>
      <c r="BF24" s="78">
        <f t="shared" si="56"/>
        <v>2</v>
      </c>
      <c r="BG24" s="98" t="s">
        <v>14</v>
      </c>
      <c r="BH24" s="81">
        <f t="shared" si="57"/>
        <v>3</v>
      </c>
      <c r="BI24" s="1">
        <v>0</v>
      </c>
      <c r="BJ24" s="78">
        <f t="shared" si="58"/>
        <v>3</v>
      </c>
      <c r="BK24" s="98" t="s">
        <v>11</v>
      </c>
      <c r="BL24" s="81">
        <f t="shared" si="59"/>
        <v>3</v>
      </c>
      <c r="BM24" s="1">
        <v>1</v>
      </c>
      <c r="BN24" s="78">
        <f t="shared" si="60"/>
        <v>4</v>
      </c>
      <c r="BO24" s="95">
        <f t="shared" si="61"/>
        <v>11</v>
      </c>
      <c r="BP24" s="98" t="s">
        <v>11</v>
      </c>
      <c r="BQ24" s="81">
        <f t="shared" si="62"/>
        <v>0</v>
      </c>
      <c r="BR24" s="1">
        <v>0</v>
      </c>
      <c r="BS24" s="112">
        <f t="shared" si="63"/>
        <v>0</v>
      </c>
      <c r="BT24" s="98" t="s">
        <v>14</v>
      </c>
      <c r="BU24" s="81">
        <f t="shared" si="64"/>
        <v>3</v>
      </c>
      <c r="BV24" s="1">
        <v>1</v>
      </c>
      <c r="BW24" s="112">
        <f t="shared" si="65"/>
        <v>4</v>
      </c>
      <c r="BX24" s="98" t="s">
        <v>11</v>
      </c>
      <c r="BY24" s="81">
        <f t="shared" si="66"/>
        <v>0</v>
      </c>
      <c r="BZ24" s="1">
        <v>2</v>
      </c>
      <c r="CA24" s="112">
        <f t="shared" si="67"/>
        <v>2</v>
      </c>
      <c r="CB24" s="98" t="s">
        <v>15</v>
      </c>
      <c r="CC24" s="81">
        <f t="shared" si="68"/>
        <v>3</v>
      </c>
      <c r="CD24" s="1">
        <v>2</v>
      </c>
      <c r="CE24" s="112">
        <f t="shared" si="69"/>
        <v>5</v>
      </c>
      <c r="CF24" s="98" t="s">
        <v>11</v>
      </c>
      <c r="CG24" s="81">
        <f t="shared" si="70"/>
        <v>3</v>
      </c>
      <c r="CH24" s="1">
        <v>0</v>
      </c>
      <c r="CI24" s="112">
        <f t="shared" si="71"/>
        <v>3</v>
      </c>
      <c r="CJ24" s="152">
        <f t="shared" si="72"/>
        <v>14</v>
      </c>
      <c r="CK24" s="1" t="s">
        <v>11</v>
      </c>
      <c r="CL24" s="81">
        <f t="shared" si="73"/>
        <v>0</v>
      </c>
      <c r="CM24" s="1">
        <v>0</v>
      </c>
      <c r="CN24" s="112">
        <f t="shared" si="74"/>
        <v>0</v>
      </c>
      <c r="CO24" s="1" t="s">
        <v>12</v>
      </c>
      <c r="CP24" s="81">
        <f t="shared" si="75"/>
        <v>3</v>
      </c>
      <c r="CQ24" s="1">
        <v>0</v>
      </c>
      <c r="CR24" s="112">
        <f t="shared" si="76"/>
        <v>3</v>
      </c>
      <c r="CS24" s="1" t="s">
        <v>15</v>
      </c>
      <c r="CT24" s="81">
        <f t="shared" si="77"/>
        <v>3</v>
      </c>
      <c r="CU24" s="1">
        <v>1</v>
      </c>
      <c r="CV24" s="112">
        <f t="shared" si="78"/>
        <v>4</v>
      </c>
      <c r="CW24" s="1" t="s">
        <v>11</v>
      </c>
      <c r="CX24" s="81">
        <f t="shared" si="79"/>
        <v>3</v>
      </c>
      <c r="CY24" s="1">
        <v>1</v>
      </c>
      <c r="CZ24" s="112">
        <f t="shared" si="80"/>
        <v>4</v>
      </c>
      <c r="DA24" s="1" t="s">
        <v>11</v>
      </c>
      <c r="DB24" s="81">
        <f t="shared" si="81"/>
        <v>3</v>
      </c>
      <c r="DC24" s="1">
        <v>1</v>
      </c>
      <c r="DD24" s="112">
        <f t="shared" si="82"/>
        <v>4</v>
      </c>
      <c r="DE24" s="152">
        <f t="shared" si="83"/>
        <v>15</v>
      </c>
      <c r="DF24" s="1" t="s">
        <v>15</v>
      </c>
      <c r="DG24" s="81">
        <f t="shared" si="4"/>
        <v>3</v>
      </c>
      <c r="DH24" s="1">
        <v>2</v>
      </c>
      <c r="DI24" s="112">
        <f t="shared" si="5"/>
        <v>5</v>
      </c>
      <c r="DJ24" s="1" t="s">
        <v>15</v>
      </c>
      <c r="DK24" s="81">
        <f t="shared" si="6"/>
        <v>3</v>
      </c>
      <c r="DL24" s="1">
        <v>0</v>
      </c>
      <c r="DM24" s="112">
        <f t="shared" si="7"/>
        <v>3</v>
      </c>
      <c r="DN24" s="1" t="s">
        <v>11</v>
      </c>
      <c r="DO24" s="81">
        <f t="shared" si="8"/>
        <v>3</v>
      </c>
      <c r="DP24" s="1">
        <v>0</v>
      </c>
      <c r="DQ24" s="112">
        <f t="shared" si="9"/>
        <v>3</v>
      </c>
      <c r="DR24" s="1" t="s">
        <v>15</v>
      </c>
      <c r="DS24" s="81">
        <f t="shared" si="10"/>
        <v>3</v>
      </c>
      <c r="DT24" s="1">
        <v>1</v>
      </c>
      <c r="DU24" s="112">
        <f t="shared" si="11"/>
        <v>4</v>
      </c>
      <c r="DV24" s="1" t="s">
        <v>12</v>
      </c>
      <c r="DW24" s="81">
        <f t="shared" si="12"/>
        <v>3</v>
      </c>
      <c r="DX24" s="1">
        <v>1</v>
      </c>
      <c r="DY24" s="112">
        <f t="shared" si="13"/>
        <v>4</v>
      </c>
      <c r="DZ24" s="152">
        <f t="shared" si="84"/>
        <v>19</v>
      </c>
      <c r="EA24" s="185" t="s">
        <v>12</v>
      </c>
      <c r="EB24" s="184">
        <f t="shared" si="14"/>
        <v>1</v>
      </c>
      <c r="EC24" s="185">
        <v>4</v>
      </c>
      <c r="ED24" s="112">
        <f t="shared" si="15"/>
        <v>5</v>
      </c>
      <c r="EE24" s="185" t="s">
        <v>12</v>
      </c>
      <c r="EF24" s="184">
        <f t="shared" si="16"/>
        <v>0</v>
      </c>
      <c r="EG24" s="185">
        <v>1</v>
      </c>
      <c r="EH24" s="112">
        <f t="shared" si="17"/>
        <v>1</v>
      </c>
      <c r="EI24" s="185" t="s">
        <v>11</v>
      </c>
      <c r="EJ24" s="184">
        <f t="shared" si="18"/>
        <v>3</v>
      </c>
      <c r="EK24" s="185">
        <v>0</v>
      </c>
      <c r="EL24" s="112">
        <f t="shared" si="19"/>
        <v>3</v>
      </c>
      <c r="EM24" s="185" t="s">
        <v>12</v>
      </c>
      <c r="EN24" s="184">
        <f t="shared" si="20"/>
        <v>3</v>
      </c>
      <c r="EO24" s="185">
        <v>1</v>
      </c>
      <c r="EP24" s="112">
        <f t="shared" si="21"/>
        <v>4</v>
      </c>
      <c r="EQ24" s="185" t="s">
        <v>14</v>
      </c>
      <c r="ER24" s="184">
        <f t="shared" si="22"/>
        <v>0</v>
      </c>
      <c r="ES24" s="185">
        <v>0</v>
      </c>
      <c r="ET24" s="112">
        <f t="shared" si="23"/>
        <v>0</v>
      </c>
      <c r="EU24" s="152">
        <f t="shared" si="85"/>
        <v>13</v>
      </c>
      <c r="EV24" s="1" t="s">
        <v>15</v>
      </c>
      <c r="EW24" s="184">
        <f t="shared" si="24"/>
        <v>1</v>
      </c>
      <c r="EX24" s="1">
        <v>2</v>
      </c>
      <c r="EY24" s="112">
        <f t="shared" si="25"/>
        <v>3</v>
      </c>
      <c r="EZ24" s="1" t="s">
        <v>11</v>
      </c>
      <c r="FA24" s="184">
        <f t="shared" si="26"/>
        <v>3</v>
      </c>
      <c r="FB24" s="1">
        <v>1</v>
      </c>
      <c r="FC24" s="112">
        <f t="shared" si="27"/>
        <v>4</v>
      </c>
      <c r="FD24" s="1" t="s">
        <v>11</v>
      </c>
      <c r="FE24" s="184">
        <f t="shared" si="28"/>
        <v>3</v>
      </c>
      <c r="FF24" s="1">
        <v>1</v>
      </c>
      <c r="FG24" s="112">
        <f t="shared" si="29"/>
        <v>4</v>
      </c>
      <c r="FH24" s="1" t="s">
        <v>12</v>
      </c>
      <c r="FI24" s="184">
        <f t="shared" si="30"/>
        <v>3</v>
      </c>
      <c r="FJ24" s="1">
        <v>1</v>
      </c>
      <c r="FK24" s="112">
        <f t="shared" si="31"/>
        <v>4</v>
      </c>
      <c r="FL24" s="152">
        <f t="shared" si="86"/>
        <v>28</v>
      </c>
    </row>
    <row r="25" spans="1:168" x14ac:dyDescent="0.2">
      <c r="A25" s="3" t="s">
        <v>64</v>
      </c>
      <c r="B25" s="4" t="s">
        <v>65</v>
      </c>
      <c r="C25" s="65">
        <f t="shared" ca="1" si="32"/>
        <v>0.82758620689655171</v>
      </c>
      <c r="D25" s="65">
        <f t="shared" ca="1" si="33"/>
        <v>1.2758620689655169</v>
      </c>
      <c r="E25" s="15" t="s">
        <v>11</v>
      </c>
      <c r="F25" s="16">
        <f t="shared" si="0"/>
        <v>0</v>
      </c>
      <c r="G25" s="1">
        <v>0</v>
      </c>
      <c r="H25" s="1">
        <f t="shared" si="34"/>
        <v>0</v>
      </c>
      <c r="I25" s="15" t="s">
        <v>11</v>
      </c>
      <c r="J25" s="16">
        <f t="shared" si="1"/>
        <v>0</v>
      </c>
      <c r="K25" s="78">
        <v>1</v>
      </c>
      <c r="L25" s="1">
        <f t="shared" si="35"/>
        <v>1</v>
      </c>
      <c r="M25" s="15" t="s">
        <v>12</v>
      </c>
      <c r="N25" s="16">
        <f t="shared" si="2"/>
        <v>3</v>
      </c>
      <c r="O25" s="1">
        <v>1</v>
      </c>
      <c r="P25" s="1">
        <f t="shared" si="36"/>
        <v>4</v>
      </c>
      <c r="Q25" s="15" t="s">
        <v>15</v>
      </c>
      <c r="R25" s="16">
        <f t="shared" si="3"/>
        <v>3</v>
      </c>
      <c r="S25" s="1">
        <v>1</v>
      </c>
      <c r="T25" s="1">
        <f t="shared" si="37"/>
        <v>4</v>
      </c>
      <c r="U25" s="15" t="s">
        <v>15</v>
      </c>
      <c r="V25" s="16">
        <f t="shared" si="38"/>
        <v>0</v>
      </c>
      <c r="W25" s="1">
        <v>0</v>
      </c>
      <c r="X25" s="1">
        <f t="shared" si="39"/>
        <v>0</v>
      </c>
      <c r="Y25" s="95">
        <f t="shared" si="40"/>
        <v>9</v>
      </c>
      <c r="Z25" s="28" t="s">
        <v>15</v>
      </c>
      <c r="AA25" s="81">
        <f t="shared" si="87"/>
        <v>3</v>
      </c>
      <c r="AB25" s="87">
        <v>2</v>
      </c>
      <c r="AC25" s="78">
        <f t="shared" si="41"/>
        <v>5</v>
      </c>
      <c r="AD25" s="28" t="s">
        <v>15</v>
      </c>
      <c r="AE25" s="16">
        <f t="shared" si="42"/>
        <v>3</v>
      </c>
      <c r="AF25" s="27">
        <v>3</v>
      </c>
      <c r="AG25" s="1">
        <f t="shared" si="43"/>
        <v>6</v>
      </c>
      <c r="AH25" s="28" t="s">
        <v>12</v>
      </c>
      <c r="AI25" s="16">
        <f t="shared" si="44"/>
        <v>1</v>
      </c>
      <c r="AJ25" s="27">
        <v>1</v>
      </c>
      <c r="AK25" s="17">
        <f t="shared" si="45"/>
        <v>2</v>
      </c>
      <c r="AL25" s="27" t="s">
        <v>14</v>
      </c>
      <c r="AM25" s="16">
        <f t="shared" si="46"/>
        <v>1</v>
      </c>
      <c r="AN25" s="27">
        <v>2</v>
      </c>
      <c r="AO25" s="1">
        <f t="shared" si="47"/>
        <v>3</v>
      </c>
      <c r="AP25" s="28" t="s">
        <v>14</v>
      </c>
      <c r="AQ25" s="16">
        <f t="shared" si="48"/>
        <v>3</v>
      </c>
      <c r="AR25" s="27">
        <v>2</v>
      </c>
      <c r="AS25" s="1">
        <f t="shared" si="49"/>
        <v>5</v>
      </c>
      <c r="AT25" s="95">
        <f t="shared" si="50"/>
        <v>21</v>
      </c>
      <c r="AU25" s="103" t="s">
        <v>32</v>
      </c>
      <c r="AV25" s="84">
        <f t="shared" ca="1" si="51"/>
        <v>1.2758620689655169</v>
      </c>
      <c r="AW25" s="41">
        <f ca="1">IF(AU25="Out", $C25)</f>
        <v>0.82758620689655171</v>
      </c>
      <c r="AX25" s="113">
        <f t="shared" ca="1" si="52"/>
        <v>2.1034482758620685</v>
      </c>
      <c r="AY25" s="42" t="s">
        <v>32</v>
      </c>
      <c r="AZ25" s="84">
        <f t="shared" ca="1" si="53"/>
        <v>1.2758620689655169</v>
      </c>
      <c r="BA25" s="41">
        <f ca="1">IF(AY25="Out", $C25)</f>
        <v>0.82758620689655171</v>
      </c>
      <c r="BB25" s="113">
        <f t="shared" ca="1" si="54"/>
        <v>2.1034482758620685</v>
      </c>
      <c r="BC25" s="42" t="s">
        <v>32</v>
      </c>
      <c r="BD25" s="84">
        <f t="shared" ca="1" si="55"/>
        <v>1.2758620689655169</v>
      </c>
      <c r="BE25" s="41">
        <f ca="1">IF(BC25="Out", $C25)</f>
        <v>0.82758620689655171</v>
      </c>
      <c r="BF25" s="86">
        <f t="shared" ca="1" si="56"/>
        <v>2.1034482758620685</v>
      </c>
      <c r="BG25" s="103" t="s">
        <v>32</v>
      </c>
      <c r="BH25" s="84">
        <f t="shared" ca="1" si="57"/>
        <v>1.2758620689655169</v>
      </c>
      <c r="BI25" s="41">
        <f ca="1">IF(BG25="Out", $C25)</f>
        <v>0.82758620689655171</v>
      </c>
      <c r="BJ25" s="86">
        <f t="shared" ca="1" si="58"/>
        <v>2.1034482758620685</v>
      </c>
      <c r="BK25" s="103" t="s">
        <v>32</v>
      </c>
      <c r="BL25" s="84">
        <f t="shared" ca="1" si="59"/>
        <v>1.2758620689655169</v>
      </c>
      <c r="BM25" s="41">
        <f ca="1">IF(BK25="Out", $C25)</f>
        <v>0.82758620689655171</v>
      </c>
      <c r="BN25" s="86">
        <f t="shared" ca="1" si="60"/>
        <v>2.1034482758620685</v>
      </c>
      <c r="BO25" s="95">
        <f t="shared" ca="1" si="61"/>
        <v>10.517241379310342</v>
      </c>
      <c r="BP25" s="98" t="s">
        <v>12</v>
      </c>
      <c r="BQ25" s="81">
        <f t="shared" si="62"/>
        <v>3</v>
      </c>
      <c r="BR25" s="1">
        <v>1</v>
      </c>
      <c r="BS25" s="112">
        <f t="shared" si="63"/>
        <v>4</v>
      </c>
      <c r="BT25" s="98" t="s">
        <v>14</v>
      </c>
      <c r="BU25" s="81">
        <f t="shared" si="64"/>
        <v>3</v>
      </c>
      <c r="BV25" s="1">
        <v>1</v>
      </c>
      <c r="BW25" s="112">
        <f t="shared" si="65"/>
        <v>4</v>
      </c>
      <c r="BX25" s="98" t="s">
        <v>12</v>
      </c>
      <c r="BY25" s="81">
        <f t="shared" si="66"/>
        <v>3</v>
      </c>
      <c r="BZ25" s="1">
        <v>2</v>
      </c>
      <c r="CA25" s="112">
        <f t="shared" si="67"/>
        <v>5</v>
      </c>
      <c r="CB25" s="98" t="s">
        <v>14</v>
      </c>
      <c r="CC25" s="81">
        <f t="shared" si="68"/>
        <v>0</v>
      </c>
      <c r="CD25" s="1">
        <v>0</v>
      </c>
      <c r="CE25" s="112">
        <f t="shared" si="69"/>
        <v>0</v>
      </c>
      <c r="CF25" s="98" t="s">
        <v>11</v>
      </c>
      <c r="CG25" s="81">
        <f t="shared" si="70"/>
        <v>3</v>
      </c>
      <c r="CH25" s="1">
        <v>3</v>
      </c>
      <c r="CI25" s="112">
        <f t="shared" si="71"/>
        <v>6</v>
      </c>
      <c r="CJ25" s="152">
        <f t="shared" si="72"/>
        <v>19</v>
      </c>
      <c r="CK25" s="1" t="s">
        <v>11</v>
      </c>
      <c r="CL25" s="81">
        <f t="shared" si="73"/>
        <v>0</v>
      </c>
      <c r="CM25" s="1">
        <v>0</v>
      </c>
      <c r="CN25" s="112">
        <f t="shared" si="74"/>
        <v>0</v>
      </c>
      <c r="CO25" s="1" t="s">
        <v>14</v>
      </c>
      <c r="CP25" s="81">
        <f t="shared" si="75"/>
        <v>0</v>
      </c>
      <c r="CQ25" s="1">
        <v>0</v>
      </c>
      <c r="CR25" s="112">
        <f t="shared" si="76"/>
        <v>0</v>
      </c>
      <c r="CS25" s="1" t="s">
        <v>14</v>
      </c>
      <c r="CT25" s="81">
        <f t="shared" si="77"/>
        <v>0</v>
      </c>
      <c r="CU25" s="1">
        <v>1</v>
      </c>
      <c r="CV25" s="112">
        <f t="shared" si="78"/>
        <v>1</v>
      </c>
      <c r="CW25" s="1" t="s">
        <v>15</v>
      </c>
      <c r="CX25" s="81">
        <f t="shared" si="79"/>
        <v>0</v>
      </c>
      <c r="CY25" s="1">
        <v>0</v>
      </c>
      <c r="CZ25" s="112">
        <f t="shared" si="80"/>
        <v>0</v>
      </c>
      <c r="DA25" s="1" t="s">
        <v>11</v>
      </c>
      <c r="DB25" s="81">
        <f t="shared" si="81"/>
        <v>3</v>
      </c>
      <c r="DC25" s="1">
        <v>0</v>
      </c>
      <c r="DD25" s="112">
        <f t="shared" si="82"/>
        <v>3</v>
      </c>
      <c r="DE25" s="152">
        <f t="shared" si="83"/>
        <v>4</v>
      </c>
      <c r="DF25" s="1" t="s">
        <v>15</v>
      </c>
      <c r="DG25" s="81">
        <f t="shared" si="4"/>
        <v>3</v>
      </c>
      <c r="DH25" s="1">
        <v>1</v>
      </c>
      <c r="DI25" s="112">
        <f t="shared" si="5"/>
        <v>4</v>
      </c>
      <c r="DJ25" s="1" t="s">
        <v>14</v>
      </c>
      <c r="DK25" s="81">
        <f t="shared" si="6"/>
        <v>0</v>
      </c>
      <c r="DL25" s="1">
        <v>1</v>
      </c>
      <c r="DM25" s="112">
        <f t="shared" si="7"/>
        <v>1</v>
      </c>
      <c r="DN25" s="1" t="s">
        <v>15</v>
      </c>
      <c r="DO25" s="81">
        <f t="shared" si="8"/>
        <v>0</v>
      </c>
      <c r="DP25" s="1">
        <v>0</v>
      </c>
      <c r="DQ25" s="112">
        <f t="shared" si="9"/>
        <v>0</v>
      </c>
      <c r="DR25" s="1" t="s">
        <v>14</v>
      </c>
      <c r="DS25" s="81">
        <f t="shared" si="10"/>
        <v>0</v>
      </c>
      <c r="DT25" s="1">
        <v>0</v>
      </c>
      <c r="DU25" s="112">
        <f t="shared" si="11"/>
        <v>0</v>
      </c>
      <c r="DV25" s="1" t="s">
        <v>11</v>
      </c>
      <c r="DW25" s="81">
        <f t="shared" si="12"/>
        <v>0</v>
      </c>
      <c r="DX25" s="1">
        <v>1</v>
      </c>
      <c r="DY25" s="112">
        <f t="shared" si="13"/>
        <v>1</v>
      </c>
      <c r="DZ25" s="152">
        <f t="shared" si="84"/>
        <v>6</v>
      </c>
      <c r="EA25" s="186" t="s">
        <v>32</v>
      </c>
      <c r="EB25" s="187">
        <f t="shared" ca="1" si="14"/>
        <v>1.2758620689655169</v>
      </c>
      <c r="EC25" s="41">
        <f ca="1">IF(EA25="Out", $C25)</f>
        <v>0.82758620689655171</v>
      </c>
      <c r="ED25" s="113">
        <f t="shared" ca="1" si="15"/>
        <v>2.1034482758620685</v>
      </c>
      <c r="EE25" s="186" t="s">
        <v>32</v>
      </c>
      <c r="EF25" s="187">
        <f t="shared" ca="1" si="16"/>
        <v>1.2758620689655169</v>
      </c>
      <c r="EG25" s="41">
        <f ca="1">IF(EE25="Out", $C25)</f>
        <v>0.82758620689655171</v>
      </c>
      <c r="EH25" s="113">
        <f t="shared" ca="1" si="17"/>
        <v>2.1034482758620685</v>
      </c>
      <c r="EI25" s="186" t="s">
        <v>32</v>
      </c>
      <c r="EJ25" s="187">
        <f t="shared" ca="1" si="18"/>
        <v>1.2758620689655169</v>
      </c>
      <c r="EK25" s="41">
        <f ca="1">IF(EI25="Out", $C25)</f>
        <v>0.82758620689655171</v>
      </c>
      <c r="EL25" s="113">
        <f t="shared" ca="1" si="19"/>
        <v>2.1034482758620685</v>
      </c>
      <c r="EM25" s="186" t="s">
        <v>32</v>
      </c>
      <c r="EN25" s="187">
        <f t="shared" ca="1" si="20"/>
        <v>1.2758620689655169</v>
      </c>
      <c r="EO25" s="41">
        <f ca="1">IF(EM25="Out", $C25)</f>
        <v>0.82758620689655171</v>
      </c>
      <c r="EP25" s="113">
        <f t="shared" ca="1" si="21"/>
        <v>2.1034482758620685</v>
      </c>
      <c r="EQ25" s="186" t="s">
        <v>32</v>
      </c>
      <c r="ER25" s="187">
        <f t="shared" ca="1" si="22"/>
        <v>1.2758620689655169</v>
      </c>
      <c r="ES25" s="41">
        <f ca="1">IF(EQ25="Out", $C25)</f>
        <v>0.82758620689655171</v>
      </c>
      <c r="ET25" s="113">
        <f t="shared" ca="1" si="23"/>
        <v>2.1034482758620685</v>
      </c>
      <c r="EU25" s="152">
        <f t="shared" ca="1" si="85"/>
        <v>10.517241379310342</v>
      </c>
      <c r="EV25" s="1" t="s">
        <v>14</v>
      </c>
      <c r="EW25" s="184">
        <f t="shared" si="24"/>
        <v>1</v>
      </c>
      <c r="EX25" s="1">
        <v>0</v>
      </c>
      <c r="EY25" s="112">
        <f t="shared" si="25"/>
        <v>1</v>
      </c>
      <c r="EZ25" s="1" t="s">
        <v>14</v>
      </c>
      <c r="FA25" s="184">
        <f t="shared" si="26"/>
        <v>0</v>
      </c>
      <c r="FB25" s="1">
        <v>0</v>
      </c>
      <c r="FC25" s="112">
        <f t="shared" si="27"/>
        <v>0</v>
      </c>
      <c r="FD25" s="1" t="s">
        <v>12</v>
      </c>
      <c r="FE25" s="184">
        <f t="shared" si="28"/>
        <v>0</v>
      </c>
      <c r="FF25" s="1">
        <v>0</v>
      </c>
      <c r="FG25" s="112">
        <f t="shared" si="29"/>
        <v>0</v>
      </c>
      <c r="FH25" s="1" t="s">
        <v>15</v>
      </c>
      <c r="FI25" s="184">
        <f t="shared" si="30"/>
        <v>1</v>
      </c>
      <c r="FJ25" s="1">
        <v>0</v>
      </c>
      <c r="FK25" s="112">
        <f t="shared" si="31"/>
        <v>1</v>
      </c>
      <c r="FL25" s="152">
        <f t="shared" ca="1" si="86"/>
        <v>12.517241379310342</v>
      </c>
    </row>
    <row r="26" spans="1:168" x14ac:dyDescent="0.2">
      <c r="A26" s="3" t="s">
        <v>66</v>
      </c>
      <c r="B26" s="4" t="s">
        <v>67</v>
      </c>
      <c r="C26" s="65">
        <f t="shared" ca="1" si="32"/>
        <v>1.1333333333333333</v>
      </c>
      <c r="D26" s="65">
        <f t="shared" ca="1" si="33"/>
        <v>1.533333333333333</v>
      </c>
      <c r="E26" s="15" t="s">
        <v>14</v>
      </c>
      <c r="F26" s="16">
        <f t="shared" si="0"/>
        <v>3</v>
      </c>
      <c r="G26" s="1">
        <v>2</v>
      </c>
      <c r="H26" s="1">
        <f t="shared" si="34"/>
        <v>5</v>
      </c>
      <c r="I26" s="15" t="s">
        <v>14</v>
      </c>
      <c r="J26" s="16">
        <f t="shared" si="1"/>
        <v>3</v>
      </c>
      <c r="K26" s="78">
        <v>1</v>
      </c>
      <c r="L26" s="1">
        <f t="shared" si="35"/>
        <v>4</v>
      </c>
      <c r="M26" s="15" t="s">
        <v>15</v>
      </c>
      <c r="N26" s="16">
        <f t="shared" si="2"/>
        <v>0</v>
      </c>
      <c r="O26" s="1">
        <v>1</v>
      </c>
      <c r="P26" s="1">
        <f t="shared" si="36"/>
        <v>1</v>
      </c>
      <c r="Q26" s="15" t="s">
        <v>14</v>
      </c>
      <c r="R26" s="16">
        <f t="shared" si="3"/>
        <v>0</v>
      </c>
      <c r="S26" s="1">
        <v>0</v>
      </c>
      <c r="T26" s="1">
        <f t="shared" si="37"/>
        <v>0</v>
      </c>
      <c r="U26" s="15" t="s">
        <v>15</v>
      </c>
      <c r="V26" s="16">
        <f t="shared" si="38"/>
        <v>0</v>
      </c>
      <c r="W26" s="1">
        <v>1</v>
      </c>
      <c r="X26" s="1">
        <f t="shared" si="39"/>
        <v>1</v>
      </c>
      <c r="Y26" s="95">
        <f t="shared" si="40"/>
        <v>11</v>
      </c>
      <c r="Z26" s="28" t="s">
        <v>14</v>
      </c>
      <c r="AA26" s="81">
        <f t="shared" si="87"/>
        <v>0</v>
      </c>
      <c r="AB26" s="87">
        <v>0</v>
      </c>
      <c r="AC26" s="78">
        <f t="shared" si="41"/>
        <v>0</v>
      </c>
      <c r="AD26" s="28" t="s">
        <v>11</v>
      </c>
      <c r="AE26" s="16">
        <f t="shared" si="42"/>
        <v>3</v>
      </c>
      <c r="AF26" s="27">
        <v>1</v>
      </c>
      <c r="AG26" s="1">
        <f t="shared" si="43"/>
        <v>4</v>
      </c>
      <c r="AH26" s="28" t="s">
        <v>11</v>
      </c>
      <c r="AI26" s="16">
        <f t="shared" si="44"/>
        <v>1</v>
      </c>
      <c r="AJ26" s="27">
        <v>3</v>
      </c>
      <c r="AK26" s="17">
        <f t="shared" si="45"/>
        <v>4</v>
      </c>
      <c r="AL26" s="27" t="s">
        <v>11</v>
      </c>
      <c r="AM26" s="16">
        <f t="shared" si="46"/>
        <v>3</v>
      </c>
      <c r="AN26" s="27">
        <v>2</v>
      </c>
      <c r="AO26" s="1">
        <f t="shared" si="47"/>
        <v>5</v>
      </c>
      <c r="AP26" s="28" t="s">
        <v>11</v>
      </c>
      <c r="AQ26" s="16">
        <f t="shared" si="48"/>
        <v>0</v>
      </c>
      <c r="AR26" s="27">
        <v>1</v>
      </c>
      <c r="AS26" s="1">
        <f t="shared" si="49"/>
        <v>1</v>
      </c>
      <c r="AT26" s="95">
        <f t="shared" si="50"/>
        <v>14</v>
      </c>
      <c r="AU26" s="98" t="s">
        <v>12</v>
      </c>
      <c r="AV26" s="81">
        <f t="shared" si="51"/>
        <v>3</v>
      </c>
      <c r="AW26" s="1">
        <v>2</v>
      </c>
      <c r="AX26" s="112">
        <f t="shared" si="52"/>
        <v>5</v>
      </c>
      <c r="AY26" s="1" t="s">
        <v>12</v>
      </c>
      <c r="AZ26" s="81">
        <f t="shared" si="53"/>
        <v>1</v>
      </c>
      <c r="BA26" s="1">
        <v>2</v>
      </c>
      <c r="BB26" s="112">
        <f t="shared" si="54"/>
        <v>3</v>
      </c>
      <c r="BC26" s="1" t="s">
        <v>14</v>
      </c>
      <c r="BD26" s="81">
        <f t="shared" si="55"/>
        <v>1</v>
      </c>
      <c r="BE26" s="1">
        <v>1</v>
      </c>
      <c r="BF26" s="78">
        <f t="shared" si="56"/>
        <v>2</v>
      </c>
      <c r="BG26" s="98" t="s">
        <v>11</v>
      </c>
      <c r="BH26" s="81">
        <f t="shared" si="57"/>
        <v>3</v>
      </c>
      <c r="BI26" s="1">
        <v>4</v>
      </c>
      <c r="BJ26" s="78">
        <f t="shared" si="58"/>
        <v>7</v>
      </c>
      <c r="BK26" s="98" t="s">
        <v>15</v>
      </c>
      <c r="BL26" s="81">
        <f t="shared" si="59"/>
        <v>3</v>
      </c>
      <c r="BM26" s="1">
        <v>1</v>
      </c>
      <c r="BN26" s="78">
        <f t="shared" si="60"/>
        <v>4</v>
      </c>
      <c r="BO26" s="95">
        <f t="shared" si="61"/>
        <v>21</v>
      </c>
      <c r="BP26" s="98" t="s">
        <v>12</v>
      </c>
      <c r="BQ26" s="81">
        <f t="shared" si="62"/>
        <v>3</v>
      </c>
      <c r="BR26" s="1">
        <v>3</v>
      </c>
      <c r="BS26" s="112">
        <f t="shared" si="63"/>
        <v>6</v>
      </c>
      <c r="BT26" s="98" t="s">
        <v>11</v>
      </c>
      <c r="BU26" s="81">
        <f t="shared" si="64"/>
        <v>3</v>
      </c>
      <c r="BV26" s="1">
        <v>2</v>
      </c>
      <c r="BW26" s="112">
        <f t="shared" si="65"/>
        <v>5</v>
      </c>
      <c r="BX26" s="98" t="s">
        <v>12</v>
      </c>
      <c r="BY26" s="81">
        <f t="shared" si="66"/>
        <v>3</v>
      </c>
      <c r="BZ26" s="1">
        <v>0</v>
      </c>
      <c r="CA26" s="112">
        <f t="shared" si="67"/>
        <v>3</v>
      </c>
      <c r="CB26" s="98" t="s">
        <v>14</v>
      </c>
      <c r="CC26" s="81">
        <f t="shared" si="68"/>
        <v>0</v>
      </c>
      <c r="CD26" s="1">
        <v>0</v>
      </c>
      <c r="CE26" s="112">
        <f t="shared" si="69"/>
        <v>0</v>
      </c>
      <c r="CF26" s="98" t="s">
        <v>14</v>
      </c>
      <c r="CG26" s="81">
        <f t="shared" si="70"/>
        <v>0</v>
      </c>
      <c r="CH26" s="1">
        <v>0</v>
      </c>
      <c r="CI26" s="112">
        <f t="shared" si="71"/>
        <v>0</v>
      </c>
      <c r="CJ26" s="152">
        <f t="shared" si="72"/>
        <v>14</v>
      </c>
      <c r="CK26" s="42" t="s">
        <v>32</v>
      </c>
      <c r="CL26" s="84">
        <f t="shared" ca="1" si="73"/>
        <v>1.533333333333333</v>
      </c>
      <c r="CM26" s="41">
        <f ca="1">IF(CK26="Out", $C26)</f>
        <v>1.1333333333333333</v>
      </c>
      <c r="CN26" s="113">
        <f t="shared" ca="1" si="74"/>
        <v>2.6666666666666661</v>
      </c>
      <c r="CO26" s="42" t="s">
        <v>32</v>
      </c>
      <c r="CP26" s="84">
        <f t="shared" ca="1" si="75"/>
        <v>1.533333333333333</v>
      </c>
      <c r="CQ26" s="41">
        <f ca="1">IF(CO26="Out", $C26)</f>
        <v>1.1333333333333333</v>
      </c>
      <c r="CR26" s="113">
        <f t="shared" ca="1" si="76"/>
        <v>2.6666666666666661</v>
      </c>
      <c r="CS26" s="42" t="s">
        <v>32</v>
      </c>
      <c r="CT26" s="84">
        <f t="shared" ca="1" si="77"/>
        <v>1.533333333333333</v>
      </c>
      <c r="CU26" s="41">
        <f ca="1">IF(CS26="Out", $C26)</f>
        <v>1.1333333333333333</v>
      </c>
      <c r="CV26" s="113">
        <f t="shared" ca="1" si="78"/>
        <v>2.6666666666666661</v>
      </c>
      <c r="CW26" s="42" t="s">
        <v>32</v>
      </c>
      <c r="CX26" s="84">
        <f t="shared" ca="1" si="79"/>
        <v>1.533333333333333</v>
      </c>
      <c r="CY26" s="41">
        <f ca="1">IF(CW26="Out", $C26)</f>
        <v>1.1333333333333333</v>
      </c>
      <c r="CZ26" s="113">
        <f t="shared" ca="1" si="80"/>
        <v>2.6666666666666661</v>
      </c>
      <c r="DA26" s="42" t="s">
        <v>32</v>
      </c>
      <c r="DB26" s="84">
        <f t="shared" ca="1" si="81"/>
        <v>1.533333333333333</v>
      </c>
      <c r="DC26" s="41">
        <f ca="1">IF(DA26="Out", $C26)</f>
        <v>1.1333333333333333</v>
      </c>
      <c r="DD26" s="113">
        <f t="shared" ca="1" si="82"/>
        <v>2.6666666666666661</v>
      </c>
      <c r="DE26" s="152">
        <f t="shared" ca="1" si="83"/>
        <v>13.33333333333333</v>
      </c>
      <c r="DF26" s="1" t="s">
        <v>15</v>
      </c>
      <c r="DG26" s="81">
        <f t="shared" si="4"/>
        <v>3</v>
      </c>
      <c r="DH26" s="1">
        <v>0</v>
      </c>
      <c r="DI26" s="112">
        <f t="shared" si="5"/>
        <v>3</v>
      </c>
      <c r="DJ26" s="1" t="s">
        <v>15</v>
      </c>
      <c r="DK26" s="81">
        <f t="shared" si="6"/>
        <v>3</v>
      </c>
      <c r="DL26" s="1">
        <v>0</v>
      </c>
      <c r="DM26" s="112">
        <f t="shared" si="7"/>
        <v>3</v>
      </c>
      <c r="DN26" s="1" t="s">
        <v>12</v>
      </c>
      <c r="DO26" s="81">
        <f t="shared" si="8"/>
        <v>0</v>
      </c>
      <c r="DP26" s="1">
        <v>0</v>
      </c>
      <c r="DQ26" s="112">
        <f t="shared" si="9"/>
        <v>0</v>
      </c>
      <c r="DR26" s="1" t="s">
        <v>14</v>
      </c>
      <c r="DS26" s="81">
        <f t="shared" si="10"/>
        <v>0</v>
      </c>
      <c r="DT26" s="1">
        <v>0</v>
      </c>
      <c r="DU26" s="112">
        <f t="shared" si="11"/>
        <v>0</v>
      </c>
      <c r="DV26" s="1" t="s">
        <v>11</v>
      </c>
      <c r="DW26" s="81">
        <f t="shared" si="12"/>
        <v>0</v>
      </c>
      <c r="DX26" s="1">
        <v>0</v>
      </c>
      <c r="DY26" s="112">
        <f t="shared" si="13"/>
        <v>0</v>
      </c>
      <c r="DZ26" s="152">
        <f t="shared" si="84"/>
        <v>6</v>
      </c>
      <c r="EA26" s="185" t="s">
        <v>15</v>
      </c>
      <c r="EB26" s="184">
        <f t="shared" si="14"/>
        <v>1</v>
      </c>
      <c r="EC26" s="185">
        <v>1</v>
      </c>
      <c r="ED26" s="112">
        <f t="shared" si="15"/>
        <v>2</v>
      </c>
      <c r="EE26" s="185" t="s">
        <v>15</v>
      </c>
      <c r="EF26" s="184">
        <f t="shared" si="16"/>
        <v>3</v>
      </c>
      <c r="EG26" s="185">
        <v>3</v>
      </c>
      <c r="EH26" s="112">
        <f t="shared" si="17"/>
        <v>6</v>
      </c>
      <c r="EI26" s="185" t="s">
        <v>14</v>
      </c>
      <c r="EJ26" s="184">
        <f t="shared" si="18"/>
        <v>0</v>
      </c>
      <c r="EK26" s="185">
        <v>0</v>
      </c>
      <c r="EL26" s="112">
        <f t="shared" si="19"/>
        <v>0</v>
      </c>
      <c r="EM26" s="185" t="s">
        <v>11</v>
      </c>
      <c r="EN26" s="184">
        <f t="shared" si="20"/>
        <v>0</v>
      </c>
      <c r="EO26" s="185">
        <v>1</v>
      </c>
      <c r="EP26" s="112">
        <f t="shared" si="21"/>
        <v>1</v>
      </c>
      <c r="EQ26" s="185" t="s">
        <v>15</v>
      </c>
      <c r="ER26" s="184">
        <f t="shared" si="22"/>
        <v>3</v>
      </c>
      <c r="ES26" s="185">
        <v>2</v>
      </c>
      <c r="ET26" s="112">
        <f t="shared" si="23"/>
        <v>5</v>
      </c>
      <c r="EU26" s="152">
        <f t="shared" si="85"/>
        <v>14</v>
      </c>
      <c r="EV26" s="42" t="s">
        <v>32</v>
      </c>
      <c r="EW26" s="187">
        <f t="shared" ca="1" si="24"/>
        <v>1.533333333333333</v>
      </c>
      <c r="EX26" s="41">
        <f ca="1">IF(EV26="Out", $C26)</f>
        <v>1.1333333333333333</v>
      </c>
      <c r="EY26" s="113">
        <f t="shared" ca="1" si="25"/>
        <v>2.6666666666666661</v>
      </c>
      <c r="EZ26" s="42" t="s">
        <v>32</v>
      </c>
      <c r="FA26" s="187">
        <f t="shared" ca="1" si="26"/>
        <v>1.533333333333333</v>
      </c>
      <c r="FB26" s="41">
        <f ca="1">IF(EZ26="Out", $C26)</f>
        <v>1.1333333333333333</v>
      </c>
      <c r="FC26" s="113">
        <f t="shared" ca="1" si="27"/>
        <v>2.6666666666666661</v>
      </c>
      <c r="FD26" s="42" t="s">
        <v>32</v>
      </c>
      <c r="FE26" s="187">
        <f t="shared" ca="1" si="28"/>
        <v>1.533333333333333</v>
      </c>
      <c r="FF26" s="41">
        <f ca="1">IF(FD26="Out", $C26)</f>
        <v>1.1333333333333333</v>
      </c>
      <c r="FG26" s="113">
        <f t="shared" ca="1" si="29"/>
        <v>2.6666666666666661</v>
      </c>
      <c r="FH26" s="42" t="s">
        <v>32</v>
      </c>
      <c r="FI26" s="187">
        <f t="shared" ca="1" si="30"/>
        <v>1.533333333333333</v>
      </c>
      <c r="FJ26" s="41">
        <f ca="1">IF(FH26="Out", $C26)</f>
        <v>1.1333333333333333</v>
      </c>
      <c r="FK26" s="113">
        <f t="shared" ca="1" si="31"/>
        <v>2.6666666666666661</v>
      </c>
      <c r="FL26" s="152">
        <f t="shared" ca="1" si="86"/>
        <v>24.666666666666657</v>
      </c>
    </row>
    <row r="27" spans="1:168" x14ac:dyDescent="0.2">
      <c r="A27" s="3" t="s">
        <v>68</v>
      </c>
      <c r="B27" s="4" t="s">
        <v>69</v>
      </c>
      <c r="C27" s="65">
        <f t="shared" si="32"/>
        <v>0.48717948717948717</v>
      </c>
      <c r="D27" s="65">
        <f t="shared" si="33"/>
        <v>1.5384615384615385</v>
      </c>
      <c r="E27" s="15" t="s">
        <v>12</v>
      </c>
      <c r="F27" s="16">
        <f t="shared" si="0"/>
        <v>3</v>
      </c>
      <c r="G27" s="1">
        <v>0</v>
      </c>
      <c r="H27" s="1">
        <f t="shared" si="34"/>
        <v>3</v>
      </c>
      <c r="I27" s="15" t="s">
        <v>14</v>
      </c>
      <c r="J27" s="16">
        <f t="shared" si="1"/>
        <v>3</v>
      </c>
      <c r="K27" s="78">
        <v>0</v>
      </c>
      <c r="L27" s="1">
        <f t="shared" si="35"/>
        <v>3</v>
      </c>
      <c r="M27" s="15" t="s">
        <v>14</v>
      </c>
      <c r="N27" s="16">
        <f t="shared" si="2"/>
        <v>3</v>
      </c>
      <c r="O27" s="1">
        <v>0</v>
      </c>
      <c r="P27" s="1">
        <f t="shared" si="36"/>
        <v>3</v>
      </c>
      <c r="Q27" s="15" t="s">
        <v>14</v>
      </c>
      <c r="R27" s="16">
        <f t="shared" si="3"/>
        <v>0</v>
      </c>
      <c r="S27" s="1">
        <v>0</v>
      </c>
      <c r="T27" s="1">
        <f t="shared" si="37"/>
        <v>0</v>
      </c>
      <c r="U27" s="15" t="s">
        <v>12</v>
      </c>
      <c r="V27" s="16">
        <f t="shared" si="38"/>
        <v>0</v>
      </c>
      <c r="W27" s="1">
        <v>0</v>
      </c>
      <c r="X27" s="1">
        <f t="shared" si="39"/>
        <v>0</v>
      </c>
      <c r="Y27" s="95">
        <f t="shared" si="40"/>
        <v>9</v>
      </c>
      <c r="Z27" s="28" t="s">
        <v>11</v>
      </c>
      <c r="AA27" s="81">
        <f t="shared" si="87"/>
        <v>0</v>
      </c>
      <c r="AB27" s="87">
        <v>1</v>
      </c>
      <c r="AC27" s="78">
        <f t="shared" si="41"/>
        <v>1</v>
      </c>
      <c r="AD27" s="28" t="s">
        <v>14</v>
      </c>
      <c r="AE27" s="16">
        <f t="shared" si="42"/>
        <v>0</v>
      </c>
      <c r="AF27" s="27">
        <v>1</v>
      </c>
      <c r="AG27" s="1">
        <f t="shared" si="43"/>
        <v>1</v>
      </c>
      <c r="AH27" s="28" t="s">
        <v>12</v>
      </c>
      <c r="AI27" s="16">
        <f t="shared" si="44"/>
        <v>1</v>
      </c>
      <c r="AJ27" s="27">
        <v>0</v>
      </c>
      <c r="AK27" s="17">
        <f t="shared" si="45"/>
        <v>1</v>
      </c>
      <c r="AL27" s="27" t="s">
        <v>15</v>
      </c>
      <c r="AM27" s="16">
        <f t="shared" si="46"/>
        <v>1</v>
      </c>
      <c r="AN27" s="27">
        <v>1</v>
      </c>
      <c r="AO27" s="1">
        <f t="shared" si="47"/>
        <v>2</v>
      </c>
      <c r="AP27" s="28" t="s">
        <v>12</v>
      </c>
      <c r="AQ27" s="16">
        <f t="shared" si="48"/>
        <v>3</v>
      </c>
      <c r="AR27" s="27">
        <v>0</v>
      </c>
      <c r="AS27" s="1">
        <f t="shared" si="49"/>
        <v>3</v>
      </c>
      <c r="AT27" s="95">
        <f t="shared" si="50"/>
        <v>8</v>
      </c>
      <c r="AU27" s="98" t="s">
        <v>12</v>
      </c>
      <c r="AV27" s="81">
        <f t="shared" si="51"/>
        <v>3</v>
      </c>
      <c r="AW27" s="1">
        <v>0</v>
      </c>
      <c r="AX27" s="112">
        <f t="shared" si="52"/>
        <v>3</v>
      </c>
      <c r="AY27" s="1" t="s">
        <v>12</v>
      </c>
      <c r="AZ27" s="81">
        <f t="shared" si="53"/>
        <v>1</v>
      </c>
      <c r="BA27" s="1">
        <v>0</v>
      </c>
      <c r="BB27" s="112">
        <f t="shared" si="54"/>
        <v>1</v>
      </c>
      <c r="BC27" s="1" t="s">
        <v>11</v>
      </c>
      <c r="BD27" s="81">
        <f t="shared" si="55"/>
        <v>3</v>
      </c>
      <c r="BE27" s="1">
        <v>0</v>
      </c>
      <c r="BF27" s="78">
        <f t="shared" si="56"/>
        <v>3</v>
      </c>
      <c r="BG27" s="98" t="s">
        <v>15</v>
      </c>
      <c r="BH27" s="81">
        <f t="shared" si="57"/>
        <v>0</v>
      </c>
      <c r="BI27" s="1">
        <v>1</v>
      </c>
      <c r="BJ27" s="78">
        <f t="shared" si="58"/>
        <v>1</v>
      </c>
      <c r="BK27" s="98" t="s">
        <v>12</v>
      </c>
      <c r="BL27" s="81">
        <f t="shared" si="59"/>
        <v>0</v>
      </c>
      <c r="BM27" s="1">
        <v>0</v>
      </c>
      <c r="BN27" s="78">
        <f t="shared" si="60"/>
        <v>0</v>
      </c>
      <c r="BO27" s="95">
        <f t="shared" si="61"/>
        <v>8</v>
      </c>
      <c r="BP27" s="98" t="s">
        <v>12</v>
      </c>
      <c r="BQ27" s="81">
        <f t="shared" si="62"/>
        <v>3</v>
      </c>
      <c r="BR27" s="1">
        <v>0</v>
      </c>
      <c r="BS27" s="112">
        <f t="shared" si="63"/>
        <v>3</v>
      </c>
      <c r="BT27" s="98" t="s">
        <v>12</v>
      </c>
      <c r="BU27" s="81">
        <f t="shared" si="64"/>
        <v>0</v>
      </c>
      <c r="BV27" s="1">
        <v>2</v>
      </c>
      <c r="BW27" s="112">
        <f t="shared" si="65"/>
        <v>2</v>
      </c>
      <c r="BX27" s="98" t="s">
        <v>14</v>
      </c>
      <c r="BY27" s="81">
        <f t="shared" si="66"/>
        <v>0</v>
      </c>
      <c r="BZ27" s="1">
        <v>2</v>
      </c>
      <c r="CA27" s="112">
        <f t="shared" si="67"/>
        <v>2</v>
      </c>
      <c r="CB27" s="98" t="s">
        <v>12</v>
      </c>
      <c r="CC27" s="81">
        <f t="shared" si="68"/>
        <v>0</v>
      </c>
      <c r="CD27" s="1">
        <v>0</v>
      </c>
      <c r="CE27" s="112">
        <f t="shared" si="69"/>
        <v>0</v>
      </c>
      <c r="CF27" s="98" t="s">
        <v>11</v>
      </c>
      <c r="CG27" s="81">
        <f t="shared" si="70"/>
        <v>3</v>
      </c>
      <c r="CH27" s="1">
        <v>0</v>
      </c>
      <c r="CI27" s="112">
        <f t="shared" si="71"/>
        <v>3</v>
      </c>
      <c r="CJ27" s="152">
        <f t="shared" si="72"/>
        <v>10</v>
      </c>
      <c r="CK27" s="1" t="s">
        <v>12</v>
      </c>
      <c r="CL27" s="81">
        <f t="shared" si="73"/>
        <v>3</v>
      </c>
      <c r="CM27" s="1">
        <v>0</v>
      </c>
      <c r="CN27" s="112">
        <f t="shared" si="74"/>
        <v>3</v>
      </c>
      <c r="CO27" s="1" t="s">
        <v>11</v>
      </c>
      <c r="CP27" s="81">
        <f t="shared" si="75"/>
        <v>0</v>
      </c>
      <c r="CQ27" s="1">
        <v>0</v>
      </c>
      <c r="CR27" s="112">
        <f t="shared" si="76"/>
        <v>0</v>
      </c>
      <c r="CS27" s="1" t="s">
        <v>11</v>
      </c>
      <c r="CT27" s="81">
        <f t="shared" si="77"/>
        <v>1</v>
      </c>
      <c r="CU27" s="1">
        <v>1</v>
      </c>
      <c r="CV27" s="112">
        <f t="shared" si="78"/>
        <v>2</v>
      </c>
      <c r="CW27" s="1" t="s">
        <v>11</v>
      </c>
      <c r="CX27" s="81">
        <f t="shared" si="79"/>
        <v>3</v>
      </c>
      <c r="CY27" s="1">
        <v>0</v>
      </c>
      <c r="CZ27" s="112">
        <f t="shared" si="80"/>
        <v>3</v>
      </c>
      <c r="DA27" s="1" t="s">
        <v>15</v>
      </c>
      <c r="DB27" s="81">
        <f t="shared" si="81"/>
        <v>1</v>
      </c>
      <c r="DC27" s="1">
        <v>1</v>
      </c>
      <c r="DD27" s="112">
        <f t="shared" si="82"/>
        <v>2</v>
      </c>
      <c r="DE27" s="152">
        <f t="shared" si="83"/>
        <v>10</v>
      </c>
      <c r="DF27" s="1" t="s">
        <v>12</v>
      </c>
      <c r="DG27" s="81">
        <f t="shared" si="4"/>
        <v>3</v>
      </c>
      <c r="DH27" s="1">
        <v>1</v>
      </c>
      <c r="DI27" s="112">
        <f t="shared" si="5"/>
        <v>4</v>
      </c>
      <c r="DJ27" s="1" t="s">
        <v>15</v>
      </c>
      <c r="DK27" s="81">
        <f t="shared" si="6"/>
        <v>3</v>
      </c>
      <c r="DL27" s="1">
        <v>0</v>
      </c>
      <c r="DM27" s="112">
        <f t="shared" si="7"/>
        <v>3</v>
      </c>
      <c r="DN27" s="1" t="s">
        <v>14</v>
      </c>
      <c r="DO27" s="81">
        <f t="shared" si="8"/>
        <v>3</v>
      </c>
      <c r="DP27" s="1">
        <v>1</v>
      </c>
      <c r="DQ27" s="112">
        <f t="shared" si="9"/>
        <v>4</v>
      </c>
      <c r="DR27" s="1" t="s">
        <v>11</v>
      </c>
      <c r="DS27" s="81">
        <f t="shared" si="10"/>
        <v>3</v>
      </c>
      <c r="DT27" s="1">
        <v>1</v>
      </c>
      <c r="DU27" s="112">
        <f t="shared" si="11"/>
        <v>4</v>
      </c>
      <c r="DV27" s="1" t="s">
        <v>11</v>
      </c>
      <c r="DW27" s="81">
        <f t="shared" si="12"/>
        <v>0</v>
      </c>
      <c r="DX27" s="1">
        <v>1</v>
      </c>
      <c r="DY27" s="112">
        <f t="shared" si="13"/>
        <v>1</v>
      </c>
      <c r="DZ27" s="152">
        <f t="shared" si="84"/>
        <v>16</v>
      </c>
      <c r="EA27" s="185" t="s">
        <v>15</v>
      </c>
      <c r="EB27" s="184">
        <f t="shared" si="14"/>
        <v>1</v>
      </c>
      <c r="EC27" s="185">
        <v>0</v>
      </c>
      <c r="ED27" s="112">
        <f t="shared" si="15"/>
        <v>1</v>
      </c>
      <c r="EE27" s="185" t="s">
        <v>14</v>
      </c>
      <c r="EF27" s="184">
        <f t="shared" si="16"/>
        <v>0</v>
      </c>
      <c r="EG27" s="185">
        <v>0</v>
      </c>
      <c r="EH27" s="112">
        <f t="shared" si="17"/>
        <v>0</v>
      </c>
      <c r="EI27" s="185" t="s">
        <v>11</v>
      </c>
      <c r="EJ27" s="184">
        <f t="shared" si="18"/>
        <v>3</v>
      </c>
      <c r="EK27" s="185">
        <v>2</v>
      </c>
      <c r="EL27" s="112">
        <f t="shared" si="19"/>
        <v>5</v>
      </c>
      <c r="EM27" s="185" t="s">
        <v>14</v>
      </c>
      <c r="EN27" s="184">
        <f t="shared" si="20"/>
        <v>1</v>
      </c>
      <c r="EO27" s="185">
        <v>1</v>
      </c>
      <c r="EP27" s="112">
        <f t="shared" si="21"/>
        <v>2</v>
      </c>
      <c r="EQ27" s="185" t="s">
        <v>14</v>
      </c>
      <c r="ER27" s="184">
        <f t="shared" si="22"/>
        <v>0</v>
      </c>
      <c r="ES27" s="185">
        <v>1</v>
      </c>
      <c r="ET27" s="112">
        <f t="shared" si="23"/>
        <v>1</v>
      </c>
      <c r="EU27" s="152">
        <f t="shared" si="85"/>
        <v>9</v>
      </c>
      <c r="EV27" s="1" t="s">
        <v>15</v>
      </c>
      <c r="EW27" s="184">
        <f t="shared" si="24"/>
        <v>1</v>
      </c>
      <c r="EX27" s="1">
        <v>0</v>
      </c>
      <c r="EY27" s="112">
        <f t="shared" si="25"/>
        <v>1</v>
      </c>
      <c r="EZ27" s="1" t="s">
        <v>15</v>
      </c>
      <c r="FA27" s="184">
        <f t="shared" si="26"/>
        <v>3</v>
      </c>
      <c r="FB27" s="1">
        <v>0</v>
      </c>
      <c r="FC27" s="112">
        <f t="shared" si="27"/>
        <v>3</v>
      </c>
      <c r="FD27" s="1" t="s">
        <v>15</v>
      </c>
      <c r="FE27" s="184">
        <f t="shared" si="28"/>
        <v>3</v>
      </c>
      <c r="FF27" s="1">
        <v>0</v>
      </c>
      <c r="FG27" s="112">
        <f t="shared" si="29"/>
        <v>3</v>
      </c>
      <c r="FH27" s="1" t="s">
        <v>14</v>
      </c>
      <c r="FI27" s="184">
        <f t="shared" si="30"/>
        <v>1</v>
      </c>
      <c r="FJ27" s="1">
        <v>1</v>
      </c>
      <c r="FK27" s="112">
        <f t="shared" si="31"/>
        <v>2</v>
      </c>
      <c r="FL27" s="152">
        <f t="shared" si="86"/>
        <v>18</v>
      </c>
    </row>
    <row r="28" spans="1:168" x14ac:dyDescent="0.2">
      <c r="A28" s="3" t="s">
        <v>70</v>
      </c>
      <c r="B28" s="4" t="s">
        <v>71</v>
      </c>
      <c r="C28" s="65">
        <f t="shared" si="32"/>
        <v>0.5641025641025641</v>
      </c>
      <c r="D28" s="65">
        <f t="shared" si="33"/>
        <v>1.6153846153846154</v>
      </c>
      <c r="E28" s="15" t="s">
        <v>15</v>
      </c>
      <c r="F28" s="16">
        <f t="shared" si="0"/>
        <v>0</v>
      </c>
      <c r="G28" s="1">
        <v>0</v>
      </c>
      <c r="H28" s="1">
        <f t="shared" si="34"/>
        <v>0</v>
      </c>
      <c r="I28" s="15" t="s">
        <v>12</v>
      </c>
      <c r="J28" s="16">
        <f t="shared" si="1"/>
        <v>3</v>
      </c>
      <c r="K28" s="78">
        <v>0</v>
      </c>
      <c r="L28" s="1">
        <f t="shared" si="35"/>
        <v>3</v>
      </c>
      <c r="M28" s="15" t="s">
        <v>15</v>
      </c>
      <c r="N28" s="16">
        <f t="shared" si="2"/>
        <v>0</v>
      </c>
      <c r="O28" s="1">
        <v>0</v>
      </c>
      <c r="P28" s="1">
        <f t="shared" si="36"/>
        <v>0</v>
      </c>
      <c r="Q28" s="15" t="s">
        <v>15</v>
      </c>
      <c r="R28" s="16">
        <f t="shared" si="3"/>
        <v>3</v>
      </c>
      <c r="S28" s="1">
        <v>1</v>
      </c>
      <c r="T28" s="1">
        <f t="shared" si="37"/>
        <v>4</v>
      </c>
      <c r="U28" s="15" t="s">
        <v>11</v>
      </c>
      <c r="V28" s="16">
        <f t="shared" si="38"/>
        <v>3</v>
      </c>
      <c r="W28" s="1">
        <v>0</v>
      </c>
      <c r="X28" s="1">
        <f t="shared" si="39"/>
        <v>3</v>
      </c>
      <c r="Y28" s="95">
        <f t="shared" si="40"/>
        <v>10</v>
      </c>
      <c r="Z28" s="28" t="s">
        <v>11</v>
      </c>
      <c r="AA28" s="81">
        <f t="shared" si="87"/>
        <v>0</v>
      </c>
      <c r="AB28" s="87">
        <v>0</v>
      </c>
      <c r="AC28" s="78">
        <f t="shared" si="41"/>
        <v>0</v>
      </c>
      <c r="AD28" s="28" t="s">
        <v>11</v>
      </c>
      <c r="AE28" s="16">
        <f t="shared" si="42"/>
        <v>3</v>
      </c>
      <c r="AF28" s="27">
        <v>1</v>
      </c>
      <c r="AG28" s="1">
        <f t="shared" si="43"/>
        <v>4</v>
      </c>
      <c r="AH28" s="28" t="s">
        <v>12</v>
      </c>
      <c r="AI28" s="16">
        <f t="shared" si="44"/>
        <v>1</v>
      </c>
      <c r="AJ28" s="27">
        <v>2</v>
      </c>
      <c r="AK28" s="17">
        <f t="shared" si="45"/>
        <v>3</v>
      </c>
      <c r="AL28" s="27" t="s">
        <v>11</v>
      </c>
      <c r="AM28" s="16">
        <f t="shared" si="46"/>
        <v>3</v>
      </c>
      <c r="AN28" s="27">
        <v>0</v>
      </c>
      <c r="AO28" s="1">
        <f t="shared" si="47"/>
        <v>3</v>
      </c>
      <c r="AP28" s="28" t="s">
        <v>14</v>
      </c>
      <c r="AQ28" s="16">
        <f t="shared" si="48"/>
        <v>3</v>
      </c>
      <c r="AR28" s="27">
        <v>1</v>
      </c>
      <c r="AS28" s="1">
        <f t="shared" si="49"/>
        <v>4</v>
      </c>
      <c r="AT28" s="95">
        <f t="shared" si="50"/>
        <v>14</v>
      </c>
      <c r="AU28" s="98" t="s">
        <v>15</v>
      </c>
      <c r="AV28" s="81">
        <f t="shared" si="51"/>
        <v>0</v>
      </c>
      <c r="AW28" s="1">
        <v>1</v>
      </c>
      <c r="AX28" s="112">
        <f t="shared" si="52"/>
        <v>1</v>
      </c>
      <c r="AY28" s="1" t="s">
        <v>11</v>
      </c>
      <c r="AZ28" s="81">
        <f t="shared" si="53"/>
        <v>1</v>
      </c>
      <c r="BA28" s="1">
        <v>1</v>
      </c>
      <c r="BB28" s="112">
        <f t="shared" si="54"/>
        <v>2</v>
      </c>
      <c r="BC28" s="1" t="s">
        <v>12</v>
      </c>
      <c r="BD28" s="81">
        <f t="shared" si="55"/>
        <v>0</v>
      </c>
      <c r="BE28" s="1">
        <v>0</v>
      </c>
      <c r="BF28" s="78">
        <f t="shared" si="56"/>
        <v>0</v>
      </c>
      <c r="BG28" s="98" t="s">
        <v>12</v>
      </c>
      <c r="BH28" s="81">
        <f t="shared" si="57"/>
        <v>0</v>
      </c>
      <c r="BI28" s="1">
        <v>0</v>
      </c>
      <c r="BJ28" s="78">
        <f t="shared" si="58"/>
        <v>0</v>
      </c>
      <c r="BK28" s="98" t="s">
        <v>14</v>
      </c>
      <c r="BL28" s="81">
        <f t="shared" si="59"/>
        <v>0</v>
      </c>
      <c r="BM28" s="1">
        <v>1</v>
      </c>
      <c r="BN28" s="78">
        <f t="shared" si="60"/>
        <v>1</v>
      </c>
      <c r="BO28" s="95">
        <f t="shared" si="61"/>
        <v>4</v>
      </c>
      <c r="BP28" s="98" t="s">
        <v>14</v>
      </c>
      <c r="BQ28" s="81">
        <f t="shared" si="62"/>
        <v>3</v>
      </c>
      <c r="BR28" s="1">
        <v>0</v>
      </c>
      <c r="BS28" s="112">
        <f t="shared" si="63"/>
        <v>3</v>
      </c>
      <c r="BT28" s="98" t="s">
        <v>11</v>
      </c>
      <c r="BU28" s="81">
        <f t="shared" si="64"/>
        <v>3</v>
      </c>
      <c r="BV28" s="1">
        <v>0</v>
      </c>
      <c r="BW28" s="112">
        <f t="shared" si="65"/>
        <v>3</v>
      </c>
      <c r="BX28" s="98" t="s">
        <v>11</v>
      </c>
      <c r="BY28" s="81">
        <f t="shared" si="66"/>
        <v>0</v>
      </c>
      <c r="BZ28" s="1">
        <v>1</v>
      </c>
      <c r="CA28" s="112">
        <f t="shared" si="67"/>
        <v>1</v>
      </c>
      <c r="CB28" s="98" t="s">
        <v>11</v>
      </c>
      <c r="CC28" s="81">
        <f t="shared" si="68"/>
        <v>3</v>
      </c>
      <c r="CD28" s="1">
        <v>0</v>
      </c>
      <c r="CE28" s="112">
        <f t="shared" si="69"/>
        <v>3</v>
      </c>
      <c r="CF28" s="98" t="s">
        <v>14</v>
      </c>
      <c r="CG28" s="81">
        <f t="shared" si="70"/>
        <v>0</v>
      </c>
      <c r="CH28" s="1">
        <v>0</v>
      </c>
      <c r="CI28" s="112">
        <f t="shared" si="71"/>
        <v>0</v>
      </c>
      <c r="CJ28" s="152">
        <f t="shared" si="72"/>
        <v>10</v>
      </c>
      <c r="CK28" s="1" t="s">
        <v>12</v>
      </c>
      <c r="CL28" s="81">
        <f t="shared" si="73"/>
        <v>3</v>
      </c>
      <c r="CM28" s="1">
        <v>0</v>
      </c>
      <c r="CN28" s="112">
        <f t="shared" si="74"/>
        <v>3</v>
      </c>
      <c r="CO28" s="1" t="s">
        <v>12</v>
      </c>
      <c r="CP28" s="81">
        <f t="shared" si="75"/>
        <v>3</v>
      </c>
      <c r="CQ28" s="1">
        <v>2</v>
      </c>
      <c r="CR28" s="112">
        <f t="shared" si="76"/>
        <v>5</v>
      </c>
      <c r="CS28" s="1" t="s">
        <v>11</v>
      </c>
      <c r="CT28" s="81">
        <f t="shared" si="77"/>
        <v>1</v>
      </c>
      <c r="CU28" s="1">
        <v>1</v>
      </c>
      <c r="CV28" s="112">
        <f t="shared" si="78"/>
        <v>2</v>
      </c>
      <c r="CW28" s="1" t="s">
        <v>14</v>
      </c>
      <c r="CX28" s="81">
        <f t="shared" si="79"/>
        <v>3</v>
      </c>
      <c r="CY28" s="1">
        <v>1</v>
      </c>
      <c r="CZ28" s="112">
        <f t="shared" si="80"/>
        <v>4</v>
      </c>
      <c r="DA28" s="1" t="s">
        <v>14</v>
      </c>
      <c r="DB28" s="81">
        <f t="shared" si="81"/>
        <v>1</v>
      </c>
      <c r="DC28" s="1">
        <v>1</v>
      </c>
      <c r="DD28" s="112">
        <f t="shared" si="82"/>
        <v>2</v>
      </c>
      <c r="DE28" s="152">
        <f t="shared" si="83"/>
        <v>16</v>
      </c>
      <c r="DF28" s="1" t="s">
        <v>12</v>
      </c>
      <c r="DG28" s="81">
        <f t="shared" si="4"/>
        <v>3</v>
      </c>
      <c r="DH28" s="1">
        <v>1</v>
      </c>
      <c r="DI28" s="112">
        <f t="shared" si="5"/>
        <v>4</v>
      </c>
      <c r="DJ28" s="1" t="s">
        <v>14</v>
      </c>
      <c r="DK28" s="81">
        <f t="shared" si="6"/>
        <v>0</v>
      </c>
      <c r="DL28" s="1">
        <v>0</v>
      </c>
      <c r="DM28" s="112">
        <f t="shared" si="7"/>
        <v>0</v>
      </c>
      <c r="DN28" s="1" t="s">
        <v>11</v>
      </c>
      <c r="DO28" s="81">
        <f t="shared" si="8"/>
        <v>3</v>
      </c>
      <c r="DP28" s="1">
        <v>1</v>
      </c>
      <c r="DQ28" s="112">
        <f t="shared" si="9"/>
        <v>4</v>
      </c>
      <c r="DR28" s="1" t="s">
        <v>15</v>
      </c>
      <c r="DS28" s="81">
        <f t="shared" si="10"/>
        <v>3</v>
      </c>
      <c r="DT28" s="1">
        <v>1</v>
      </c>
      <c r="DU28" s="112">
        <f t="shared" si="11"/>
        <v>4</v>
      </c>
      <c r="DV28" s="1" t="s">
        <v>15</v>
      </c>
      <c r="DW28" s="81">
        <f t="shared" si="12"/>
        <v>0</v>
      </c>
      <c r="DX28" s="1">
        <v>0</v>
      </c>
      <c r="DY28" s="112">
        <f t="shared" si="13"/>
        <v>0</v>
      </c>
      <c r="DZ28" s="152">
        <f t="shared" si="84"/>
        <v>12</v>
      </c>
      <c r="EA28" s="185" t="s">
        <v>14</v>
      </c>
      <c r="EB28" s="184">
        <f t="shared" si="14"/>
        <v>1</v>
      </c>
      <c r="EC28" s="185">
        <v>1</v>
      </c>
      <c r="ED28" s="112">
        <f t="shared" si="15"/>
        <v>2</v>
      </c>
      <c r="EE28" s="185" t="s">
        <v>11</v>
      </c>
      <c r="EF28" s="184">
        <f t="shared" si="16"/>
        <v>3</v>
      </c>
      <c r="EG28" s="185">
        <v>2</v>
      </c>
      <c r="EH28" s="112">
        <f t="shared" si="17"/>
        <v>5</v>
      </c>
      <c r="EI28" s="185" t="s">
        <v>14</v>
      </c>
      <c r="EJ28" s="184">
        <f t="shared" si="18"/>
        <v>0</v>
      </c>
      <c r="EK28" s="185">
        <v>0</v>
      </c>
      <c r="EL28" s="112">
        <f t="shared" si="19"/>
        <v>0</v>
      </c>
      <c r="EM28" s="185" t="s">
        <v>15</v>
      </c>
      <c r="EN28" s="184">
        <f t="shared" si="20"/>
        <v>1</v>
      </c>
      <c r="EO28" s="185">
        <v>0</v>
      </c>
      <c r="EP28" s="112">
        <f t="shared" si="21"/>
        <v>1</v>
      </c>
      <c r="EQ28" s="185" t="s">
        <v>12</v>
      </c>
      <c r="ER28" s="184">
        <f t="shared" si="22"/>
        <v>3</v>
      </c>
      <c r="ES28" s="185">
        <v>1</v>
      </c>
      <c r="ET28" s="112">
        <f t="shared" si="23"/>
        <v>4</v>
      </c>
      <c r="EU28" s="152">
        <f t="shared" si="85"/>
        <v>12</v>
      </c>
      <c r="EV28" s="1" t="s">
        <v>12</v>
      </c>
      <c r="EW28" s="184">
        <f t="shared" si="24"/>
        <v>3</v>
      </c>
      <c r="EX28" s="1">
        <v>0</v>
      </c>
      <c r="EY28" s="112">
        <f t="shared" si="25"/>
        <v>3</v>
      </c>
      <c r="EZ28" s="1" t="s">
        <v>15</v>
      </c>
      <c r="FA28" s="184">
        <f t="shared" si="26"/>
        <v>3</v>
      </c>
      <c r="FB28" s="1">
        <v>0</v>
      </c>
      <c r="FC28" s="112">
        <f t="shared" si="27"/>
        <v>3</v>
      </c>
      <c r="FD28" s="1" t="s">
        <v>14</v>
      </c>
      <c r="FE28" s="184">
        <f t="shared" si="28"/>
        <v>0</v>
      </c>
      <c r="FF28" s="1">
        <v>0</v>
      </c>
      <c r="FG28" s="112">
        <f t="shared" si="29"/>
        <v>0</v>
      </c>
      <c r="FH28" s="1" t="s">
        <v>11</v>
      </c>
      <c r="FI28" s="184">
        <f t="shared" si="30"/>
        <v>0</v>
      </c>
      <c r="FJ28" s="1">
        <v>1</v>
      </c>
      <c r="FK28" s="112">
        <f t="shared" si="31"/>
        <v>1</v>
      </c>
      <c r="FL28" s="152">
        <f t="shared" si="86"/>
        <v>19</v>
      </c>
    </row>
    <row r="29" spans="1:168" x14ac:dyDescent="0.2">
      <c r="A29" s="3" t="s">
        <v>72</v>
      </c>
      <c r="B29" s="4" t="s">
        <v>73</v>
      </c>
      <c r="C29" s="65">
        <f t="shared" ca="1" si="32"/>
        <v>0.15151515151515149</v>
      </c>
      <c r="D29" s="65">
        <f t="shared" ca="1" si="33"/>
        <v>1.5151515151515151</v>
      </c>
      <c r="E29" s="15" t="s">
        <v>14</v>
      </c>
      <c r="F29" s="16">
        <f t="shared" si="0"/>
        <v>3</v>
      </c>
      <c r="G29" s="1">
        <v>0</v>
      </c>
      <c r="H29" s="1">
        <f t="shared" si="34"/>
        <v>3</v>
      </c>
      <c r="I29" s="15" t="s">
        <v>15</v>
      </c>
      <c r="J29" s="16">
        <f t="shared" si="1"/>
        <v>0</v>
      </c>
      <c r="K29" s="78">
        <v>0</v>
      </c>
      <c r="L29" s="1">
        <f t="shared" si="35"/>
        <v>0</v>
      </c>
      <c r="M29" s="15" t="s">
        <v>12</v>
      </c>
      <c r="N29" s="16">
        <f t="shared" si="2"/>
        <v>3</v>
      </c>
      <c r="O29" s="1">
        <v>0</v>
      </c>
      <c r="P29" s="1">
        <f t="shared" si="36"/>
        <v>3</v>
      </c>
      <c r="Q29" s="15" t="s">
        <v>12</v>
      </c>
      <c r="R29" s="16">
        <f t="shared" si="3"/>
        <v>3</v>
      </c>
      <c r="S29" s="1">
        <v>1</v>
      </c>
      <c r="T29" s="1">
        <f t="shared" si="37"/>
        <v>4</v>
      </c>
      <c r="U29" s="15" t="s">
        <v>15</v>
      </c>
      <c r="V29" s="16">
        <f t="shared" si="38"/>
        <v>0</v>
      </c>
      <c r="W29" s="1">
        <v>1</v>
      </c>
      <c r="X29" s="1">
        <f t="shared" si="39"/>
        <v>1</v>
      </c>
      <c r="Y29" s="95">
        <f t="shared" si="40"/>
        <v>11</v>
      </c>
      <c r="Z29" s="28" t="s">
        <v>15</v>
      </c>
      <c r="AA29" s="81">
        <f t="shared" si="87"/>
        <v>3</v>
      </c>
      <c r="AB29" s="87">
        <v>0</v>
      </c>
      <c r="AC29" s="78">
        <f t="shared" si="41"/>
        <v>3</v>
      </c>
      <c r="AD29" s="28" t="s">
        <v>11</v>
      </c>
      <c r="AE29" s="16">
        <f t="shared" si="42"/>
        <v>3</v>
      </c>
      <c r="AF29" s="27">
        <v>0</v>
      </c>
      <c r="AG29" s="1">
        <f t="shared" si="43"/>
        <v>3</v>
      </c>
      <c r="AH29" s="28" t="s">
        <v>15</v>
      </c>
      <c r="AI29" s="16">
        <f t="shared" si="44"/>
        <v>3</v>
      </c>
      <c r="AJ29" s="27">
        <v>0</v>
      </c>
      <c r="AK29" s="17">
        <f t="shared" si="45"/>
        <v>3</v>
      </c>
      <c r="AL29" s="27" t="s">
        <v>15</v>
      </c>
      <c r="AM29" s="16">
        <f t="shared" si="46"/>
        <v>1</v>
      </c>
      <c r="AN29" s="27">
        <v>0</v>
      </c>
      <c r="AO29" s="1">
        <f t="shared" si="47"/>
        <v>1</v>
      </c>
      <c r="AP29" s="39" t="s">
        <v>32</v>
      </c>
      <c r="AQ29" s="40">
        <f ca="1">IF(AP29="Out", VALUE($D29), IF(OR(AS$3="", AS$4=""),"", IF(AP29=AP$3, IF(AQ$3=AS$3, $B$3, IF(AQ$3&gt;AS$3, $B$2, $B$4)),
 IF(AP29=AR$3, IF(AS$3=AQ$3, $B$3, IF(AS$3&gt;AQ$3, $B$2, $B$4)),
 IF(AP29=AP$4, IF(AQ$4=AS$4, $B$3, IF(AQ$4&gt;AS$4, $B$2, $B$4)),
 IF(AP29=AR$4, IF(AS$4=AQ$4, $B$3, IF(AS$4&gt;AQ$4, $B$2, $B$4)), ""))))))</f>
        <v>1.5151515151515151</v>
      </c>
      <c r="AR29" s="41">
        <f ca="1">IF(AP29="Out", $C29)</f>
        <v>0.15151515151515149</v>
      </c>
      <c r="AS29" s="42">
        <f t="shared" ca="1" si="49"/>
        <v>1.6666666666666665</v>
      </c>
      <c r="AT29" s="95">
        <f t="shared" ca="1" si="50"/>
        <v>11.666666666666666</v>
      </c>
      <c r="AU29" s="98" t="s">
        <v>15</v>
      </c>
      <c r="AV29" s="81">
        <f t="shared" si="51"/>
        <v>0</v>
      </c>
      <c r="AW29" s="1">
        <v>0</v>
      </c>
      <c r="AX29" s="112">
        <f t="shared" si="52"/>
        <v>0</v>
      </c>
      <c r="AY29" s="1" t="s">
        <v>15</v>
      </c>
      <c r="AZ29" s="81">
        <f t="shared" si="53"/>
        <v>0</v>
      </c>
      <c r="BA29" s="1">
        <v>0</v>
      </c>
      <c r="BB29" s="112">
        <f t="shared" si="54"/>
        <v>0</v>
      </c>
      <c r="BC29" s="1" t="s">
        <v>11</v>
      </c>
      <c r="BD29" s="81">
        <f t="shared" si="55"/>
        <v>3</v>
      </c>
      <c r="BE29" s="1">
        <v>0</v>
      </c>
      <c r="BF29" s="78">
        <f t="shared" si="56"/>
        <v>3</v>
      </c>
      <c r="BG29" s="98" t="s">
        <v>14</v>
      </c>
      <c r="BH29" s="81">
        <f t="shared" si="57"/>
        <v>3</v>
      </c>
      <c r="BI29" s="1">
        <v>1</v>
      </c>
      <c r="BJ29" s="78">
        <f t="shared" si="58"/>
        <v>4</v>
      </c>
      <c r="BK29" s="98" t="s">
        <v>11</v>
      </c>
      <c r="BL29" s="81">
        <f t="shared" si="59"/>
        <v>3</v>
      </c>
      <c r="BM29" s="1">
        <v>0</v>
      </c>
      <c r="BN29" s="78">
        <f t="shared" si="60"/>
        <v>3</v>
      </c>
      <c r="BO29" s="95">
        <f t="shared" si="61"/>
        <v>10</v>
      </c>
      <c r="BP29" s="98" t="s">
        <v>12</v>
      </c>
      <c r="BQ29" s="81">
        <f t="shared" si="62"/>
        <v>3</v>
      </c>
      <c r="BR29" s="1">
        <v>0</v>
      </c>
      <c r="BS29" s="112">
        <f t="shared" si="63"/>
        <v>3</v>
      </c>
      <c r="BT29" s="98" t="s">
        <v>15</v>
      </c>
      <c r="BU29" s="81">
        <f t="shared" si="64"/>
        <v>0</v>
      </c>
      <c r="BV29" s="1">
        <v>0</v>
      </c>
      <c r="BW29" s="112">
        <f t="shared" si="65"/>
        <v>0</v>
      </c>
      <c r="BX29" s="98" t="s">
        <v>11</v>
      </c>
      <c r="BY29" s="81">
        <f t="shared" si="66"/>
        <v>0</v>
      </c>
      <c r="BZ29" s="1">
        <v>0</v>
      </c>
      <c r="CA29" s="112">
        <f t="shared" si="67"/>
        <v>0</v>
      </c>
      <c r="CB29" s="98" t="s">
        <v>12</v>
      </c>
      <c r="CC29" s="81">
        <f t="shared" si="68"/>
        <v>0</v>
      </c>
      <c r="CD29" s="1">
        <v>0</v>
      </c>
      <c r="CE29" s="112">
        <f t="shared" si="69"/>
        <v>0</v>
      </c>
      <c r="CF29" s="98" t="s">
        <v>15</v>
      </c>
      <c r="CG29" s="81">
        <f t="shared" si="70"/>
        <v>3</v>
      </c>
      <c r="CH29" s="1">
        <v>0</v>
      </c>
      <c r="CI29" s="112">
        <f t="shared" si="71"/>
        <v>3</v>
      </c>
      <c r="CJ29" s="152">
        <f t="shared" si="72"/>
        <v>6</v>
      </c>
      <c r="CK29" s="1" t="s">
        <v>14</v>
      </c>
      <c r="CL29" s="81">
        <f t="shared" si="73"/>
        <v>0</v>
      </c>
      <c r="CM29" s="1">
        <v>0</v>
      </c>
      <c r="CN29" s="112">
        <f t="shared" si="74"/>
        <v>0</v>
      </c>
      <c r="CO29" s="1" t="s">
        <v>11</v>
      </c>
      <c r="CP29" s="81">
        <f t="shared" si="75"/>
        <v>0</v>
      </c>
      <c r="CQ29" s="1">
        <v>0</v>
      </c>
      <c r="CR29" s="112">
        <f t="shared" si="76"/>
        <v>0</v>
      </c>
      <c r="CS29" s="42" t="s">
        <v>32</v>
      </c>
      <c r="CT29" s="84">
        <f t="shared" ca="1" si="77"/>
        <v>1.5151515151515151</v>
      </c>
      <c r="CU29" s="41">
        <f ca="1">IF(CS29="Out", $C29)</f>
        <v>0.15151515151515149</v>
      </c>
      <c r="CV29" s="113">
        <f t="shared" ca="1" si="78"/>
        <v>1.6666666666666665</v>
      </c>
      <c r="CW29" s="42" t="s">
        <v>32</v>
      </c>
      <c r="CX29" s="84">
        <f t="shared" ca="1" si="79"/>
        <v>1.5151515151515151</v>
      </c>
      <c r="CY29" s="41">
        <f ca="1">IF(CW29="Out", $C29)</f>
        <v>0.15151515151515149</v>
      </c>
      <c r="CZ29" s="113">
        <f t="shared" ca="1" si="80"/>
        <v>1.6666666666666665</v>
      </c>
      <c r="DA29" s="42" t="s">
        <v>32</v>
      </c>
      <c r="DB29" s="84">
        <f t="shared" ca="1" si="81"/>
        <v>1.5151515151515151</v>
      </c>
      <c r="DC29" s="41">
        <f ca="1">IF(DA29="Out", $C29)</f>
        <v>0.15151515151515149</v>
      </c>
      <c r="DD29" s="113">
        <f t="shared" ca="1" si="82"/>
        <v>1.6666666666666665</v>
      </c>
      <c r="DE29" s="152">
        <f t="shared" ca="1" si="83"/>
        <v>5</v>
      </c>
      <c r="DF29" s="1" t="s">
        <v>11</v>
      </c>
      <c r="DG29" s="81">
        <f t="shared" si="4"/>
        <v>0</v>
      </c>
      <c r="DH29" s="1">
        <v>0</v>
      </c>
      <c r="DI29" s="112">
        <f t="shared" si="5"/>
        <v>0</v>
      </c>
      <c r="DJ29" s="1" t="s">
        <v>11</v>
      </c>
      <c r="DK29" s="81">
        <f t="shared" si="6"/>
        <v>3</v>
      </c>
      <c r="DL29" s="1">
        <v>0</v>
      </c>
      <c r="DM29" s="112">
        <f t="shared" si="7"/>
        <v>3</v>
      </c>
      <c r="DN29" s="1" t="s">
        <v>11</v>
      </c>
      <c r="DO29" s="81">
        <f t="shared" si="8"/>
        <v>3</v>
      </c>
      <c r="DP29" s="1">
        <v>0</v>
      </c>
      <c r="DQ29" s="112">
        <f t="shared" si="9"/>
        <v>3</v>
      </c>
      <c r="DR29" s="42" t="s">
        <v>32</v>
      </c>
      <c r="DS29" s="84">
        <f t="shared" ca="1" si="10"/>
        <v>1.5151515151515151</v>
      </c>
      <c r="DT29" s="41">
        <f ca="1">IF(DR29="Out", $C29)</f>
        <v>0.15151515151515149</v>
      </c>
      <c r="DU29" s="113">
        <f t="shared" ca="1" si="11"/>
        <v>1.6666666666666665</v>
      </c>
      <c r="DV29" s="42" t="s">
        <v>32</v>
      </c>
      <c r="DW29" s="84">
        <f t="shared" ca="1" si="12"/>
        <v>1.5151515151515151</v>
      </c>
      <c r="DX29" s="41">
        <f ca="1">IF(DV29="Out", $C29)</f>
        <v>0.15151515151515149</v>
      </c>
      <c r="DY29" s="113">
        <f t="shared" ca="1" si="13"/>
        <v>1.6666666666666665</v>
      </c>
      <c r="DZ29" s="152">
        <f t="shared" ca="1" si="84"/>
        <v>9.3333333333333321</v>
      </c>
      <c r="EA29" s="185" t="s">
        <v>14</v>
      </c>
      <c r="EB29" s="184">
        <f t="shared" si="14"/>
        <v>1</v>
      </c>
      <c r="EC29" s="185">
        <v>0</v>
      </c>
      <c r="ED29" s="112">
        <f t="shared" si="15"/>
        <v>1</v>
      </c>
      <c r="EE29" s="185" t="s">
        <v>12</v>
      </c>
      <c r="EF29" s="184">
        <f t="shared" si="16"/>
        <v>0</v>
      </c>
      <c r="EG29" s="185">
        <v>0</v>
      </c>
      <c r="EH29" s="112">
        <f t="shared" si="17"/>
        <v>0</v>
      </c>
      <c r="EI29" s="185" t="s">
        <v>14</v>
      </c>
      <c r="EJ29" s="184">
        <f t="shared" si="18"/>
        <v>0</v>
      </c>
      <c r="EK29" s="185">
        <v>1</v>
      </c>
      <c r="EL29" s="112">
        <f t="shared" si="19"/>
        <v>1</v>
      </c>
      <c r="EM29" s="185" t="s">
        <v>12</v>
      </c>
      <c r="EN29" s="184">
        <f t="shared" si="20"/>
        <v>3</v>
      </c>
      <c r="EO29" s="185">
        <v>0</v>
      </c>
      <c r="EP29" s="112">
        <f t="shared" si="21"/>
        <v>3</v>
      </c>
      <c r="EQ29" s="185" t="s">
        <v>14</v>
      </c>
      <c r="ER29" s="184">
        <f t="shared" si="22"/>
        <v>0</v>
      </c>
      <c r="ES29" s="185">
        <v>0</v>
      </c>
      <c r="ET29" s="112">
        <f t="shared" si="23"/>
        <v>0</v>
      </c>
      <c r="EU29" s="152">
        <f t="shared" si="85"/>
        <v>5</v>
      </c>
      <c r="EV29" s="1" t="s">
        <v>12</v>
      </c>
      <c r="EW29" s="184">
        <f t="shared" si="24"/>
        <v>3</v>
      </c>
      <c r="EX29" s="1">
        <v>1</v>
      </c>
      <c r="EY29" s="112">
        <f t="shared" si="25"/>
        <v>4</v>
      </c>
      <c r="EZ29" s="1" t="s">
        <v>14</v>
      </c>
      <c r="FA29" s="184">
        <f t="shared" si="26"/>
        <v>0</v>
      </c>
      <c r="FB29" s="1">
        <v>0</v>
      </c>
      <c r="FC29" s="112">
        <f t="shared" si="27"/>
        <v>0</v>
      </c>
      <c r="FD29" s="1" t="s">
        <v>15</v>
      </c>
      <c r="FE29" s="184">
        <f t="shared" si="28"/>
        <v>3</v>
      </c>
      <c r="FF29" s="1">
        <v>0</v>
      </c>
      <c r="FG29" s="112">
        <f t="shared" si="29"/>
        <v>3</v>
      </c>
      <c r="FH29" s="1" t="s">
        <v>11</v>
      </c>
      <c r="FI29" s="184">
        <f t="shared" si="30"/>
        <v>0</v>
      </c>
      <c r="FJ29" s="1">
        <v>0</v>
      </c>
      <c r="FK29" s="112">
        <f t="shared" si="31"/>
        <v>0</v>
      </c>
      <c r="FL29" s="152">
        <f t="shared" si="86"/>
        <v>12</v>
      </c>
    </row>
    <row r="30" spans="1:168" x14ac:dyDescent="0.2">
      <c r="A30" s="3" t="s">
        <v>74</v>
      </c>
      <c r="B30" s="4" t="s">
        <v>75</v>
      </c>
      <c r="C30" s="65">
        <f t="shared" si="32"/>
        <v>0.74358974358974361</v>
      </c>
      <c r="D30" s="65">
        <f t="shared" si="33"/>
        <v>1.5128205128205128</v>
      </c>
      <c r="E30" s="15" t="s">
        <v>14</v>
      </c>
      <c r="F30" s="16">
        <f t="shared" si="0"/>
        <v>3</v>
      </c>
      <c r="G30" s="1">
        <v>0</v>
      </c>
      <c r="H30" s="1">
        <f t="shared" si="34"/>
        <v>3</v>
      </c>
      <c r="I30" s="15" t="s">
        <v>14</v>
      </c>
      <c r="J30" s="16">
        <f t="shared" si="1"/>
        <v>3</v>
      </c>
      <c r="K30" s="78">
        <v>1</v>
      </c>
      <c r="L30" s="1">
        <f t="shared" si="35"/>
        <v>4</v>
      </c>
      <c r="M30" s="15" t="s">
        <v>11</v>
      </c>
      <c r="N30" s="16">
        <f t="shared" si="2"/>
        <v>0</v>
      </c>
      <c r="O30" s="1">
        <v>0</v>
      </c>
      <c r="P30" s="1">
        <f t="shared" si="36"/>
        <v>0</v>
      </c>
      <c r="Q30" s="15" t="s">
        <v>15</v>
      </c>
      <c r="R30" s="16">
        <f t="shared" si="3"/>
        <v>3</v>
      </c>
      <c r="S30" s="1">
        <v>0</v>
      </c>
      <c r="T30" s="1">
        <f t="shared" si="37"/>
        <v>3</v>
      </c>
      <c r="U30" s="15" t="s">
        <v>14</v>
      </c>
      <c r="V30" s="16">
        <f t="shared" si="38"/>
        <v>3</v>
      </c>
      <c r="W30" s="1">
        <v>1</v>
      </c>
      <c r="X30" s="1">
        <f t="shared" si="39"/>
        <v>4</v>
      </c>
      <c r="Y30" s="95">
        <f t="shared" si="40"/>
        <v>14</v>
      </c>
      <c r="Z30" s="28" t="s">
        <v>12</v>
      </c>
      <c r="AA30" s="81">
        <f t="shared" si="87"/>
        <v>3</v>
      </c>
      <c r="AB30" s="87">
        <v>1</v>
      </c>
      <c r="AC30" s="78">
        <f t="shared" si="41"/>
        <v>4</v>
      </c>
      <c r="AD30" s="28" t="s">
        <v>15</v>
      </c>
      <c r="AE30" s="16">
        <f t="shared" si="42"/>
        <v>3</v>
      </c>
      <c r="AF30" s="27">
        <v>2</v>
      </c>
      <c r="AG30" s="1">
        <f t="shared" si="43"/>
        <v>5</v>
      </c>
      <c r="AH30" s="28" t="s">
        <v>15</v>
      </c>
      <c r="AI30" s="16">
        <f t="shared" si="44"/>
        <v>3</v>
      </c>
      <c r="AJ30" s="27">
        <v>1</v>
      </c>
      <c r="AK30" s="17">
        <f t="shared" si="45"/>
        <v>4</v>
      </c>
      <c r="AL30" s="27" t="s">
        <v>14</v>
      </c>
      <c r="AM30" s="16">
        <f t="shared" si="46"/>
        <v>1</v>
      </c>
      <c r="AN30" s="27">
        <v>1</v>
      </c>
      <c r="AO30" s="1">
        <f t="shared" si="47"/>
        <v>2</v>
      </c>
      <c r="AP30" s="28" t="s">
        <v>11</v>
      </c>
      <c r="AQ30" s="16">
        <f t="shared" si="48"/>
        <v>0</v>
      </c>
      <c r="AR30" s="27">
        <v>1</v>
      </c>
      <c r="AS30" s="1">
        <f t="shared" si="49"/>
        <v>1</v>
      </c>
      <c r="AT30" s="95">
        <f t="shared" si="50"/>
        <v>16</v>
      </c>
      <c r="AU30" s="98" t="s">
        <v>14</v>
      </c>
      <c r="AV30" s="81">
        <f t="shared" si="51"/>
        <v>3</v>
      </c>
      <c r="AW30" s="1">
        <v>1</v>
      </c>
      <c r="AX30" s="112">
        <f t="shared" si="52"/>
        <v>4</v>
      </c>
      <c r="AY30" s="1" t="s">
        <v>14</v>
      </c>
      <c r="AZ30" s="81">
        <f t="shared" si="53"/>
        <v>3</v>
      </c>
      <c r="BA30" s="1">
        <v>1</v>
      </c>
      <c r="BB30" s="112">
        <f t="shared" si="54"/>
        <v>4</v>
      </c>
      <c r="BC30" s="1" t="s">
        <v>14</v>
      </c>
      <c r="BD30" s="81">
        <f t="shared" si="55"/>
        <v>1</v>
      </c>
      <c r="BE30" s="1">
        <v>1</v>
      </c>
      <c r="BF30" s="78">
        <f t="shared" si="56"/>
        <v>2</v>
      </c>
      <c r="BG30" s="98" t="s">
        <v>15</v>
      </c>
      <c r="BH30" s="81">
        <f t="shared" si="57"/>
        <v>0</v>
      </c>
      <c r="BI30" s="1">
        <v>0</v>
      </c>
      <c r="BJ30" s="78">
        <f t="shared" si="58"/>
        <v>0</v>
      </c>
      <c r="BK30" s="98" t="s">
        <v>12</v>
      </c>
      <c r="BL30" s="81">
        <f t="shared" si="59"/>
        <v>0</v>
      </c>
      <c r="BM30" s="1">
        <v>0</v>
      </c>
      <c r="BN30" s="78">
        <f t="shared" si="60"/>
        <v>0</v>
      </c>
      <c r="BO30" s="95">
        <f t="shared" si="61"/>
        <v>10</v>
      </c>
      <c r="BP30" s="98" t="s">
        <v>15</v>
      </c>
      <c r="BQ30" s="81">
        <f t="shared" si="62"/>
        <v>0</v>
      </c>
      <c r="BR30" s="1">
        <v>0</v>
      </c>
      <c r="BS30" s="112">
        <f t="shared" si="63"/>
        <v>0</v>
      </c>
      <c r="BT30" s="98" t="s">
        <v>12</v>
      </c>
      <c r="BU30" s="81">
        <f t="shared" si="64"/>
        <v>0</v>
      </c>
      <c r="BV30" s="1">
        <v>0</v>
      </c>
      <c r="BW30" s="112">
        <f t="shared" si="65"/>
        <v>0</v>
      </c>
      <c r="BX30" s="98" t="s">
        <v>15</v>
      </c>
      <c r="BY30" s="81">
        <f t="shared" si="66"/>
        <v>3</v>
      </c>
      <c r="BZ30" s="1">
        <v>2</v>
      </c>
      <c r="CA30" s="112">
        <f t="shared" si="67"/>
        <v>5</v>
      </c>
      <c r="CB30" s="98" t="s">
        <v>14</v>
      </c>
      <c r="CC30" s="81">
        <f t="shared" si="68"/>
        <v>0</v>
      </c>
      <c r="CD30" s="1">
        <v>0</v>
      </c>
      <c r="CE30" s="112">
        <f t="shared" si="69"/>
        <v>0</v>
      </c>
      <c r="CF30" s="98" t="s">
        <v>14</v>
      </c>
      <c r="CG30" s="81">
        <f t="shared" si="70"/>
        <v>0</v>
      </c>
      <c r="CH30" s="1">
        <v>0</v>
      </c>
      <c r="CI30" s="112">
        <f t="shared" si="71"/>
        <v>0</v>
      </c>
      <c r="CJ30" s="152">
        <f t="shared" si="72"/>
        <v>5</v>
      </c>
      <c r="CK30" s="1" t="s">
        <v>15</v>
      </c>
      <c r="CL30" s="81">
        <f t="shared" si="73"/>
        <v>3</v>
      </c>
      <c r="CM30" s="1">
        <v>0</v>
      </c>
      <c r="CN30" s="112">
        <f t="shared" si="74"/>
        <v>3</v>
      </c>
      <c r="CO30" s="1" t="s">
        <v>11</v>
      </c>
      <c r="CP30" s="81">
        <f t="shared" si="75"/>
        <v>0</v>
      </c>
      <c r="CQ30" s="1">
        <v>1</v>
      </c>
      <c r="CR30" s="112">
        <f t="shared" si="76"/>
        <v>1</v>
      </c>
      <c r="CS30" s="1" t="s">
        <v>14</v>
      </c>
      <c r="CT30" s="81">
        <f t="shared" si="77"/>
        <v>0</v>
      </c>
      <c r="CU30" s="1">
        <v>1</v>
      </c>
      <c r="CV30" s="112">
        <f t="shared" si="78"/>
        <v>1</v>
      </c>
      <c r="CW30" s="1" t="s">
        <v>14</v>
      </c>
      <c r="CX30" s="81">
        <f t="shared" si="79"/>
        <v>3</v>
      </c>
      <c r="CY30" s="1">
        <v>3</v>
      </c>
      <c r="CZ30" s="112">
        <f t="shared" si="80"/>
        <v>6</v>
      </c>
      <c r="DA30" s="1" t="s">
        <v>12</v>
      </c>
      <c r="DB30" s="81">
        <f t="shared" si="81"/>
        <v>0</v>
      </c>
      <c r="DC30" s="1">
        <v>1</v>
      </c>
      <c r="DD30" s="112">
        <f t="shared" si="82"/>
        <v>1</v>
      </c>
      <c r="DE30" s="152">
        <f t="shared" si="83"/>
        <v>12</v>
      </c>
      <c r="DF30" s="1" t="s">
        <v>12</v>
      </c>
      <c r="DG30" s="81">
        <f t="shared" si="4"/>
        <v>3</v>
      </c>
      <c r="DH30" s="1">
        <v>2</v>
      </c>
      <c r="DI30" s="112">
        <f t="shared" si="5"/>
        <v>5</v>
      </c>
      <c r="DJ30" s="1" t="s">
        <v>15</v>
      </c>
      <c r="DK30" s="81">
        <f t="shared" si="6"/>
        <v>3</v>
      </c>
      <c r="DL30" s="1">
        <v>1</v>
      </c>
      <c r="DM30" s="112">
        <f t="shared" si="7"/>
        <v>4</v>
      </c>
      <c r="DN30" s="1" t="s">
        <v>15</v>
      </c>
      <c r="DO30" s="81">
        <f t="shared" si="8"/>
        <v>0</v>
      </c>
      <c r="DP30" s="1">
        <v>0</v>
      </c>
      <c r="DQ30" s="112">
        <f t="shared" si="9"/>
        <v>0</v>
      </c>
      <c r="DR30" s="1" t="s">
        <v>14</v>
      </c>
      <c r="DS30" s="81">
        <f t="shared" si="10"/>
        <v>0</v>
      </c>
      <c r="DT30" s="1">
        <v>0</v>
      </c>
      <c r="DU30" s="112">
        <f t="shared" si="11"/>
        <v>0</v>
      </c>
      <c r="DV30" s="1" t="s">
        <v>12</v>
      </c>
      <c r="DW30" s="81">
        <f t="shared" si="12"/>
        <v>3</v>
      </c>
      <c r="DX30" s="1">
        <v>0</v>
      </c>
      <c r="DY30" s="112">
        <f t="shared" si="13"/>
        <v>3</v>
      </c>
      <c r="DZ30" s="152">
        <f t="shared" si="84"/>
        <v>12</v>
      </c>
      <c r="EA30" s="185" t="s">
        <v>15</v>
      </c>
      <c r="EB30" s="184">
        <f t="shared" si="14"/>
        <v>1</v>
      </c>
      <c r="EC30" s="185">
        <v>2</v>
      </c>
      <c r="ED30" s="112">
        <f t="shared" si="15"/>
        <v>3</v>
      </c>
      <c r="EE30" s="185" t="s">
        <v>12</v>
      </c>
      <c r="EF30" s="184">
        <f t="shared" si="16"/>
        <v>0</v>
      </c>
      <c r="EG30" s="185">
        <v>0</v>
      </c>
      <c r="EH30" s="112">
        <f t="shared" si="17"/>
        <v>0</v>
      </c>
      <c r="EI30" s="185" t="s">
        <v>15</v>
      </c>
      <c r="EJ30" s="184">
        <f t="shared" si="18"/>
        <v>3</v>
      </c>
      <c r="EK30" s="185">
        <v>1</v>
      </c>
      <c r="EL30" s="112">
        <f t="shared" si="19"/>
        <v>4</v>
      </c>
      <c r="EM30" s="185" t="s">
        <v>15</v>
      </c>
      <c r="EN30" s="184">
        <f t="shared" si="20"/>
        <v>1</v>
      </c>
      <c r="EO30" s="185">
        <v>1</v>
      </c>
      <c r="EP30" s="112">
        <f t="shared" si="21"/>
        <v>2</v>
      </c>
      <c r="EQ30" s="185" t="s">
        <v>12</v>
      </c>
      <c r="ER30" s="184">
        <f t="shared" si="22"/>
        <v>3</v>
      </c>
      <c r="ES30" s="185">
        <v>1</v>
      </c>
      <c r="ET30" s="112">
        <f t="shared" si="23"/>
        <v>4</v>
      </c>
      <c r="EU30" s="152">
        <f t="shared" si="85"/>
        <v>13</v>
      </c>
      <c r="EV30" s="1" t="s">
        <v>14</v>
      </c>
      <c r="EW30" s="184">
        <f t="shared" si="24"/>
        <v>1</v>
      </c>
      <c r="EX30" s="1">
        <v>0</v>
      </c>
      <c r="EY30" s="112">
        <f t="shared" si="25"/>
        <v>1</v>
      </c>
      <c r="EZ30" s="1" t="s">
        <v>11</v>
      </c>
      <c r="FA30" s="184">
        <f t="shared" si="26"/>
        <v>3</v>
      </c>
      <c r="FB30" s="1">
        <v>0</v>
      </c>
      <c r="FC30" s="112">
        <f t="shared" si="27"/>
        <v>3</v>
      </c>
      <c r="FD30" s="1" t="s">
        <v>14</v>
      </c>
      <c r="FE30" s="184">
        <f t="shared" si="28"/>
        <v>0</v>
      </c>
      <c r="FF30" s="1">
        <v>1</v>
      </c>
      <c r="FG30" s="112">
        <f t="shared" si="29"/>
        <v>1</v>
      </c>
      <c r="FH30" s="1" t="s">
        <v>11</v>
      </c>
      <c r="FI30" s="184">
        <f t="shared" si="30"/>
        <v>0</v>
      </c>
      <c r="FJ30" s="1">
        <v>1</v>
      </c>
      <c r="FK30" s="112">
        <f t="shared" si="31"/>
        <v>1</v>
      </c>
      <c r="FL30" s="152">
        <f t="shared" si="86"/>
        <v>19</v>
      </c>
    </row>
    <row r="31" spans="1:168" ht="16" customHeight="1" x14ac:dyDescent="0.2">
      <c r="A31" s="3" t="s">
        <v>76</v>
      </c>
      <c r="B31" s="4" t="s">
        <v>77</v>
      </c>
      <c r="C31" s="65">
        <f t="shared" ca="1" si="32"/>
        <v>0.4333333333333334</v>
      </c>
      <c r="D31" s="65">
        <f t="shared" ca="1" si="33"/>
        <v>1.3333333333333339</v>
      </c>
      <c r="E31" s="15" t="s">
        <v>14</v>
      </c>
      <c r="F31" s="16">
        <f t="shared" si="0"/>
        <v>3</v>
      </c>
      <c r="G31" s="1">
        <v>0</v>
      </c>
      <c r="H31" s="1">
        <f t="shared" si="34"/>
        <v>3</v>
      </c>
      <c r="I31" s="15" t="s">
        <v>15</v>
      </c>
      <c r="J31" s="16">
        <f t="shared" si="1"/>
        <v>0</v>
      </c>
      <c r="K31" s="78">
        <v>0</v>
      </c>
      <c r="L31" s="1">
        <f t="shared" si="35"/>
        <v>0</v>
      </c>
      <c r="M31" s="15" t="s">
        <v>15</v>
      </c>
      <c r="N31" s="16">
        <f t="shared" si="2"/>
        <v>0</v>
      </c>
      <c r="O31" s="1">
        <v>0</v>
      </c>
      <c r="P31" s="1">
        <f t="shared" si="36"/>
        <v>0</v>
      </c>
      <c r="Q31" s="15" t="s">
        <v>11</v>
      </c>
      <c r="R31" s="16">
        <f t="shared" si="3"/>
        <v>0</v>
      </c>
      <c r="S31" s="1">
        <v>0</v>
      </c>
      <c r="T31" s="1">
        <f t="shared" si="37"/>
        <v>0</v>
      </c>
      <c r="U31" s="15" t="s">
        <v>15</v>
      </c>
      <c r="V31" s="16">
        <f t="shared" si="38"/>
        <v>0</v>
      </c>
      <c r="W31" s="1">
        <v>0</v>
      </c>
      <c r="X31" s="1">
        <f t="shared" si="39"/>
        <v>0</v>
      </c>
      <c r="Y31" s="95">
        <f t="shared" si="40"/>
        <v>3</v>
      </c>
      <c r="Z31" s="28" t="s">
        <v>14</v>
      </c>
      <c r="AA31" s="81">
        <f t="shared" si="87"/>
        <v>0</v>
      </c>
      <c r="AB31" s="87">
        <v>1</v>
      </c>
      <c r="AC31" s="78">
        <f t="shared" si="41"/>
        <v>1</v>
      </c>
      <c r="AD31" s="28" t="s">
        <v>14</v>
      </c>
      <c r="AE31" s="16">
        <f t="shared" si="42"/>
        <v>0</v>
      </c>
      <c r="AF31" s="27">
        <v>1</v>
      </c>
      <c r="AG31" s="1">
        <f t="shared" si="43"/>
        <v>1</v>
      </c>
      <c r="AH31" s="28" t="s">
        <v>11</v>
      </c>
      <c r="AI31" s="16">
        <f t="shared" si="44"/>
        <v>1</v>
      </c>
      <c r="AJ31" s="27">
        <v>0</v>
      </c>
      <c r="AK31" s="17">
        <f t="shared" si="45"/>
        <v>1</v>
      </c>
      <c r="AL31" s="27" t="s">
        <v>12</v>
      </c>
      <c r="AM31" s="16">
        <f t="shared" si="46"/>
        <v>0</v>
      </c>
      <c r="AN31" s="27">
        <v>0</v>
      </c>
      <c r="AO31" s="1">
        <f t="shared" si="47"/>
        <v>0</v>
      </c>
      <c r="AP31" s="28" t="s">
        <v>12</v>
      </c>
      <c r="AQ31" s="16">
        <f t="shared" si="48"/>
        <v>3</v>
      </c>
      <c r="AR31" s="27">
        <v>1</v>
      </c>
      <c r="AS31" s="1">
        <f t="shared" si="49"/>
        <v>4</v>
      </c>
      <c r="AT31" s="95">
        <f t="shared" si="50"/>
        <v>7</v>
      </c>
      <c r="AU31" s="98" t="s">
        <v>11</v>
      </c>
      <c r="AV31" s="81">
        <f t="shared" si="51"/>
        <v>0</v>
      </c>
      <c r="AW31" s="1">
        <v>0</v>
      </c>
      <c r="AX31" s="112">
        <f t="shared" si="52"/>
        <v>0</v>
      </c>
      <c r="AY31" s="1" t="s">
        <v>14</v>
      </c>
      <c r="AZ31" s="81">
        <f t="shared" si="53"/>
        <v>3</v>
      </c>
      <c r="BA31" s="1">
        <v>1</v>
      </c>
      <c r="BB31" s="112">
        <f t="shared" si="54"/>
        <v>4</v>
      </c>
      <c r="BC31" s="1" t="s">
        <v>15</v>
      </c>
      <c r="BD31" s="81">
        <f t="shared" si="55"/>
        <v>1</v>
      </c>
      <c r="BE31" s="1">
        <v>1</v>
      </c>
      <c r="BF31" s="78">
        <f t="shared" si="56"/>
        <v>2</v>
      </c>
      <c r="BG31" s="98" t="s">
        <v>14</v>
      </c>
      <c r="BH31" s="81">
        <f t="shared" si="57"/>
        <v>3</v>
      </c>
      <c r="BI31" s="1">
        <v>1</v>
      </c>
      <c r="BJ31" s="78">
        <f t="shared" si="58"/>
        <v>4</v>
      </c>
      <c r="BK31" s="98" t="s">
        <v>15</v>
      </c>
      <c r="BL31" s="81">
        <f t="shared" si="59"/>
        <v>3</v>
      </c>
      <c r="BM31" s="1">
        <v>1</v>
      </c>
      <c r="BN31" s="78">
        <f t="shared" si="60"/>
        <v>4</v>
      </c>
      <c r="BO31" s="95">
        <f t="shared" si="61"/>
        <v>14</v>
      </c>
      <c r="BP31" s="103" t="s">
        <v>32</v>
      </c>
      <c r="BQ31" s="84">
        <f t="shared" ca="1" si="62"/>
        <v>1.3333333333333339</v>
      </c>
      <c r="BR31" s="41">
        <f ca="1">IF(BP31="Out", $C31)</f>
        <v>0.4333333333333334</v>
      </c>
      <c r="BS31" s="113">
        <f t="shared" ca="1" si="63"/>
        <v>1.7666666666666673</v>
      </c>
      <c r="BT31" s="103" t="s">
        <v>32</v>
      </c>
      <c r="BU31" s="84">
        <f t="shared" ca="1" si="64"/>
        <v>1.3333333333333339</v>
      </c>
      <c r="BV31" s="41">
        <f ca="1">IF(BT31="Out", $C31)</f>
        <v>0.4333333333333334</v>
      </c>
      <c r="BW31" s="113">
        <f t="shared" ca="1" si="65"/>
        <v>1.7666666666666673</v>
      </c>
      <c r="BX31" s="103" t="s">
        <v>32</v>
      </c>
      <c r="BY31" s="84">
        <f t="shared" ca="1" si="66"/>
        <v>1.3333333333333339</v>
      </c>
      <c r="BZ31" s="41">
        <f ca="1">IF(BX31="Out", $C31)</f>
        <v>0.4333333333333334</v>
      </c>
      <c r="CA31" s="113">
        <f t="shared" ca="1" si="67"/>
        <v>1.7666666666666673</v>
      </c>
      <c r="CB31" s="103" t="s">
        <v>32</v>
      </c>
      <c r="CC31" s="84">
        <f t="shared" ca="1" si="68"/>
        <v>1.3333333333333339</v>
      </c>
      <c r="CD31" s="41">
        <f ca="1">IF(CB31="Out", $C31)</f>
        <v>0.4333333333333334</v>
      </c>
      <c r="CE31" s="113">
        <f t="shared" ca="1" si="69"/>
        <v>1.7666666666666673</v>
      </c>
      <c r="CF31" s="103" t="s">
        <v>32</v>
      </c>
      <c r="CG31" s="84">
        <f t="shared" ca="1" si="70"/>
        <v>1.3333333333333339</v>
      </c>
      <c r="CH31" s="41">
        <f ca="1">IF(CF31="Out", $C31)</f>
        <v>0.4333333333333334</v>
      </c>
      <c r="CI31" s="113">
        <f t="shared" ca="1" si="71"/>
        <v>1.7666666666666673</v>
      </c>
      <c r="CJ31" s="152">
        <f t="shared" ca="1" si="72"/>
        <v>8.8333333333333357</v>
      </c>
      <c r="CK31" s="1" t="s">
        <v>11</v>
      </c>
      <c r="CL31" s="81">
        <f t="shared" si="73"/>
        <v>0</v>
      </c>
      <c r="CM31" s="1">
        <v>0</v>
      </c>
      <c r="CN31" s="112">
        <f t="shared" si="74"/>
        <v>0</v>
      </c>
      <c r="CO31" s="1" t="s">
        <v>15</v>
      </c>
      <c r="CP31" s="81">
        <f t="shared" si="75"/>
        <v>3</v>
      </c>
      <c r="CQ31" s="1">
        <v>0</v>
      </c>
      <c r="CR31" s="112">
        <f t="shared" si="76"/>
        <v>3</v>
      </c>
      <c r="CS31" s="1" t="s">
        <v>12</v>
      </c>
      <c r="CT31" s="81">
        <f t="shared" si="77"/>
        <v>1</v>
      </c>
      <c r="CU31" s="1">
        <v>0</v>
      </c>
      <c r="CV31" s="112">
        <f t="shared" si="78"/>
        <v>1</v>
      </c>
      <c r="CW31" s="1" t="s">
        <v>12</v>
      </c>
      <c r="CX31" s="81">
        <f t="shared" si="79"/>
        <v>0</v>
      </c>
      <c r="CY31" s="1">
        <v>0</v>
      </c>
      <c r="CZ31" s="112">
        <f t="shared" si="80"/>
        <v>0</v>
      </c>
      <c r="DA31" s="1" t="s">
        <v>11</v>
      </c>
      <c r="DB31" s="81">
        <f t="shared" si="81"/>
        <v>3</v>
      </c>
      <c r="DC31" s="1">
        <v>3</v>
      </c>
      <c r="DD31" s="112">
        <f t="shared" si="82"/>
        <v>6</v>
      </c>
      <c r="DE31" s="152">
        <f t="shared" si="83"/>
        <v>10</v>
      </c>
      <c r="DF31" s="1" t="s">
        <v>14</v>
      </c>
      <c r="DG31" s="81">
        <f t="shared" si="4"/>
        <v>0</v>
      </c>
      <c r="DH31" s="1">
        <v>0</v>
      </c>
      <c r="DI31" s="112">
        <f t="shared" si="5"/>
        <v>0</v>
      </c>
      <c r="DJ31" s="1" t="s">
        <v>11</v>
      </c>
      <c r="DK31" s="81">
        <f t="shared" si="6"/>
        <v>3</v>
      </c>
      <c r="DL31" s="1">
        <v>1</v>
      </c>
      <c r="DM31" s="112">
        <f t="shared" si="7"/>
        <v>4</v>
      </c>
      <c r="DN31" s="1" t="s">
        <v>11</v>
      </c>
      <c r="DO31" s="81">
        <f t="shared" si="8"/>
        <v>3</v>
      </c>
      <c r="DP31" s="1">
        <v>1</v>
      </c>
      <c r="DQ31" s="112">
        <f t="shared" si="9"/>
        <v>4</v>
      </c>
      <c r="DR31" s="1" t="s">
        <v>15</v>
      </c>
      <c r="DS31" s="81">
        <f t="shared" si="10"/>
        <v>3</v>
      </c>
      <c r="DT31" s="1">
        <v>0</v>
      </c>
      <c r="DU31" s="112">
        <f t="shared" si="11"/>
        <v>3</v>
      </c>
      <c r="DV31" s="1" t="s">
        <v>15</v>
      </c>
      <c r="DW31" s="81">
        <f t="shared" si="12"/>
        <v>0</v>
      </c>
      <c r="DX31" s="1">
        <v>0</v>
      </c>
      <c r="DY31" s="112">
        <f t="shared" si="13"/>
        <v>0</v>
      </c>
      <c r="DZ31" s="152">
        <f t="shared" si="84"/>
        <v>11</v>
      </c>
      <c r="EA31" s="185" t="s">
        <v>11</v>
      </c>
      <c r="EB31" s="184">
        <f t="shared" si="14"/>
        <v>1</v>
      </c>
      <c r="EC31" s="185">
        <v>1</v>
      </c>
      <c r="ED31" s="112">
        <f t="shared" si="15"/>
        <v>2</v>
      </c>
      <c r="EE31" s="185" t="s">
        <v>15</v>
      </c>
      <c r="EF31" s="184">
        <f t="shared" si="16"/>
        <v>3</v>
      </c>
      <c r="EG31" s="185">
        <v>0</v>
      </c>
      <c r="EH31" s="112">
        <f t="shared" si="17"/>
        <v>3</v>
      </c>
      <c r="EI31" s="185" t="s">
        <v>11</v>
      </c>
      <c r="EJ31" s="184">
        <f t="shared" si="18"/>
        <v>3</v>
      </c>
      <c r="EK31" s="185">
        <v>0</v>
      </c>
      <c r="EL31" s="112">
        <f t="shared" si="19"/>
        <v>3</v>
      </c>
      <c r="EM31" s="185" t="s">
        <v>11</v>
      </c>
      <c r="EN31" s="184">
        <f t="shared" si="20"/>
        <v>0</v>
      </c>
      <c r="EO31" s="185">
        <v>0</v>
      </c>
      <c r="EP31" s="112">
        <f t="shared" si="21"/>
        <v>0</v>
      </c>
      <c r="EQ31" s="185" t="s">
        <v>14</v>
      </c>
      <c r="ER31" s="184">
        <f t="shared" si="22"/>
        <v>0</v>
      </c>
      <c r="ES31" s="185">
        <v>0</v>
      </c>
      <c r="ET31" s="112">
        <f t="shared" si="23"/>
        <v>0</v>
      </c>
      <c r="EU31" s="152">
        <f t="shared" si="85"/>
        <v>8</v>
      </c>
      <c r="EV31" s="42" t="s">
        <v>32</v>
      </c>
      <c r="EW31" s="187">
        <f t="shared" ca="1" si="24"/>
        <v>1.3333333333333339</v>
      </c>
      <c r="EX31" s="41">
        <f ca="1">IF(EV31="Out", $C31)</f>
        <v>0.4333333333333334</v>
      </c>
      <c r="EY31" s="113">
        <f t="shared" ca="1" si="25"/>
        <v>1.7666666666666673</v>
      </c>
      <c r="EZ31" s="42" t="s">
        <v>32</v>
      </c>
      <c r="FA31" s="187">
        <f t="shared" ca="1" si="26"/>
        <v>1.3333333333333339</v>
      </c>
      <c r="FB31" s="41">
        <f ca="1">IF(EZ31="Out", $C31)</f>
        <v>0.4333333333333334</v>
      </c>
      <c r="FC31" s="113">
        <f t="shared" ca="1" si="27"/>
        <v>1.7666666666666673</v>
      </c>
      <c r="FD31" s="42" t="s">
        <v>32</v>
      </c>
      <c r="FE31" s="187">
        <f t="shared" ca="1" si="28"/>
        <v>1.3333333333333339</v>
      </c>
      <c r="FF31" s="41">
        <f ca="1">IF(FD31="Out", $C31)</f>
        <v>0.4333333333333334</v>
      </c>
      <c r="FG31" s="113">
        <f t="shared" ca="1" si="29"/>
        <v>1.7666666666666673</v>
      </c>
      <c r="FH31" s="42" t="s">
        <v>32</v>
      </c>
      <c r="FI31" s="187">
        <f t="shared" ca="1" si="30"/>
        <v>1.3333333333333339</v>
      </c>
      <c r="FJ31" s="41">
        <f ca="1">IF(FH31="Out", $C31)</f>
        <v>0.4333333333333334</v>
      </c>
      <c r="FK31" s="113">
        <f t="shared" ca="1" si="31"/>
        <v>1.7666666666666673</v>
      </c>
      <c r="FL31" s="152">
        <f t="shared" ca="1" si="86"/>
        <v>15.06666666666667</v>
      </c>
    </row>
    <row r="32" spans="1:168" x14ac:dyDescent="0.2">
      <c r="A32" s="3" t="s">
        <v>78</v>
      </c>
      <c r="B32" s="4" t="s">
        <v>79</v>
      </c>
      <c r="C32" s="65">
        <f t="shared" ca="1" si="32"/>
        <v>1.1212121212121213</v>
      </c>
      <c r="D32" s="65">
        <f t="shared" ca="1" si="33"/>
        <v>1.4848484848484849</v>
      </c>
      <c r="E32" s="15" t="s">
        <v>15</v>
      </c>
      <c r="F32" s="16">
        <f t="shared" si="0"/>
        <v>0</v>
      </c>
      <c r="G32" s="1">
        <v>1</v>
      </c>
      <c r="H32" s="1">
        <f t="shared" si="34"/>
        <v>1</v>
      </c>
      <c r="I32" s="15" t="s">
        <v>14</v>
      </c>
      <c r="J32" s="16">
        <f t="shared" si="1"/>
        <v>3</v>
      </c>
      <c r="K32" s="78">
        <v>1</v>
      </c>
      <c r="L32" s="1">
        <f t="shared" si="35"/>
        <v>4</v>
      </c>
      <c r="M32" s="15" t="s">
        <v>15</v>
      </c>
      <c r="N32" s="16">
        <f t="shared" si="2"/>
        <v>0</v>
      </c>
      <c r="O32" s="1">
        <v>0</v>
      </c>
      <c r="P32" s="1">
        <f t="shared" si="36"/>
        <v>0</v>
      </c>
      <c r="Q32" s="15" t="s">
        <v>14</v>
      </c>
      <c r="R32" s="16">
        <f t="shared" si="3"/>
        <v>0</v>
      </c>
      <c r="S32" s="1">
        <v>2</v>
      </c>
      <c r="T32" s="1">
        <f t="shared" si="37"/>
        <v>2</v>
      </c>
      <c r="U32" s="15" t="s">
        <v>12</v>
      </c>
      <c r="V32" s="16">
        <f t="shared" si="38"/>
        <v>0</v>
      </c>
      <c r="W32" s="1">
        <v>0</v>
      </c>
      <c r="X32" s="1">
        <f t="shared" si="39"/>
        <v>0</v>
      </c>
      <c r="Y32" s="95">
        <f t="shared" si="40"/>
        <v>7</v>
      </c>
      <c r="Z32" s="39" t="s">
        <v>32</v>
      </c>
      <c r="AA32" s="84">
        <f ca="1">IF(Z32="Out", VALUE($D32), IF(OR(AC$3="", AC$4=""),"", IF(Z32=Z$3, IF(AA$3=AC$3, $B$3, IF(AA$3&gt;AC$3, $B$2, $B$4)),
 IF(Z32=AB$3, IF(AC$3=AA$3, $B$3, IF(AC$3&gt;AA$3, $B$2, $B$4)),
 IF(Z32=Z$4, IF(AA$4=AC$4, $B$3, IF(AA$4&gt;AC$4, $B$2, $B$4)),
 IF(Z32=AB$4, IF(AC$4=AA$4, $B$3, IF(AC$4&gt;AA$4, $B$2, $B$4)), ""))))))</f>
        <v>1.4848484848484849</v>
      </c>
      <c r="AB32" s="85">
        <f ca="1">IF(Z32="Out", $C32)</f>
        <v>1.1212121212121213</v>
      </c>
      <c r="AC32" s="86">
        <f t="shared" ca="1" si="41"/>
        <v>2.6060606060606064</v>
      </c>
      <c r="AD32" s="39" t="s">
        <v>32</v>
      </c>
      <c r="AE32" s="40">
        <f t="shared" ca="1" si="42"/>
        <v>1.4848484848484849</v>
      </c>
      <c r="AF32" s="41">
        <f ca="1">IF(AD32="Out", $C32)</f>
        <v>1.1212121212121213</v>
      </c>
      <c r="AG32" s="42">
        <f t="shared" ca="1" si="43"/>
        <v>2.6060606060606064</v>
      </c>
      <c r="AH32" s="28" t="s">
        <v>12</v>
      </c>
      <c r="AI32" s="16">
        <f t="shared" si="44"/>
        <v>1</v>
      </c>
      <c r="AJ32" s="27">
        <v>0</v>
      </c>
      <c r="AK32" s="17">
        <f t="shared" si="45"/>
        <v>1</v>
      </c>
      <c r="AL32" s="27" t="s">
        <v>12</v>
      </c>
      <c r="AM32" s="16">
        <f t="shared" si="46"/>
        <v>0</v>
      </c>
      <c r="AN32" s="27">
        <v>0</v>
      </c>
      <c r="AO32" s="1">
        <f t="shared" si="47"/>
        <v>0</v>
      </c>
      <c r="AP32" s="39" t="s">
        <v>32</v>
      </c>
      <c r="AQ32" s="40">
        <f ca="1">IF(AP32="Out", VALUE($D32), IF(OR(AS$3="", AS$4=""),"", IF(AP32=AP$3, IF(AQ$3=AS$3, $B$3, IF(AQ$3&gt;AS$3, $B$2, $B$4)),
 IF(AP32=AR$3, IF(AS$3=AQ$3, $B$3, IF(AS$3&gt;AQ$3, $B$2, $B$4)),
 IF(AP32=AP$4, IF(AQ$4=AS$4, $B$3, IF(AQ$4&gt;AS$4, $B$2, $B$4)),
 IF(AP32=AR$4, IF(AS$4=AQ$4, $B$3, IF(AS$4&gt;AQ$4, $B$2, $B$4)), ""))))))</f>
        <v>1.4848484848484849</v>
      </c>
      <c r="AR32" s="41">
        <f ca="1">IF(AP32="Out", $C32)</f>
        <v>1.1212121212121213</v>
      </c>
      <c r="AS32" s="42">
        <f t="shared" ca="1" si="49"/>
        <v>2.6060606060606064</v>
      </c>
      <c r="AT32" s="95">
        <f t="shared" ca="1" si="50"/>
        <v>8.8181818181818201</v>
      </c>
      <c r="AU32" s="98" t="s">
        <v>14</v>
      </c>
      <c r="AV32" s="81">
        <f t="shared" si="51"/>
        <v>3</v>
      </c>
      <c r="AW32" s="1">
        <v>1</v>
      </c>
      <c r="AX32" s="112">
        <f t="shared" si="52"/>
        <v>4</v>
      </c>
      <c r="AY32" s="1" t="s">
        <v>14</v>
      </c>
      <c r="AZ32" s="81">
        <f t="shared" si="53"/>
        <v>3</v>
      </c>
      <c r="BA32" s="1">
        <v>1</v>
      </c>
      <c r="BB32" s="112">
        <f t="shared" si="54"/>
        <v>4</v>
      </c>
      <c r="BC32" s="1" t="s">
        <v>14</v>
      </c>
      <c r="BD32" s="81">
        <f t="shared" si="55"/>
        <v>1</v>
      </c>
      <c r="BE32" s="1">
        <v>0</v>
      </c>
      <c r="BF32" s="78">
        <f t="shared" si="56"/>
        <v>1</v>
      </c>
      <c r="BG32" s="98" t="s">
        <v>14</v>
      </c>
      <c r="BH32" s="81">
        <f t="shared" si="57"/>
        <v>3</v>
      </c>
      <c r="BI32" s="1">
        <v>1</v>
      </c>
      <c r="BJ32" s="78">
        <f t="shared" si="58"/>
        <v>4</v>
      </c>
      <c r="BK32" s="103" t="s">
        <v>32</v>
      </c>
      <c r="BL32" s="84">
        <f t="shared" ca="1" si="59"/>
        <v>1.4848484848484849</v>
      </c>
      <c r="BM32" s="41">
        <f ca="1">IF(BK32="Out", $C32)</f>
        <v>1.1212121212121213</v>
      </c>
      <c r="BN32" s="86">
        <f t="shared" ca="1" si="60"/>
        <v>2.6060606060606064</v>
      </c>
      <c r="BO32" s="95">
        <f t="shared" ca="1" si="61"/>
        <v>15.606060606060606</v>
      </c>
      <c r="BP32" s="98" t="s">
        <v>11</v>
      </c>
      <c r="BQ32" s="81">
        <f t="shared" si="62"/>
        <v>0</v>
      </c>
      <c r="BR32" s="1">
        <v>0</v>
      </c>
      <c r="BS32" s="112">
        <f t="shared" si="63"/>
        <v>0</v>
      </c>
      <c r="BT32" s="98" t="s">
        <v>11</v>
      </c>
      <c r="BU32" s="81">
        <f t="shared" si="64"/>
        <v>3</v>
      </c>
      <c r="BV32" s="1">
        <v>4</v>
      </c>
      <c r="BW32" s="112">
        <f t="shared" si="65"/>
        <v>7</v>
      </c>
      <c r="BX32" s="98" t="s">
        <v>15</v>
      </c>
      <c r="BY32" s="81">
        <f t="shared" si="66"/>
        <v>3</v>
      </c>
      <c r="BZ32" s="1">
        <v>1</v>
      </c>
      <c r="CA32" s="112">
        <f t="shared" si="67"/>
        <v>4</v>
      </c>
      <c r="CB32" s="98" t="s">
        <v>11</v>
      </c>
      <c r="CC32" s="81">
        <f t="shared" si="68"/>
        <v>3</v>
      </c>
      <c r="CD32" s="1">
        <v>1</v>
      </c>
      <c r="CE32" s="112">
        <f t="shared" si="69"/>
        <v>4</v>
      </c>
      <c r="CF32" s="98" t="s">
        <v>12</v>
      </c>
      <c r="CG32" s="81">
        <f t="shared" si="70"/>
        <v>0</v>
      </c>
      <c r="CH32" s="1">
        <v>0</v>
      </c>
      <c r="CI32" s="112">
        <f t="shared" si="71"/>
        <v>0</v>
      </c>
      <c r="CJ32" s="152">
        <f t="shared" si="72"/>
        <v>15</v>
      </c>
      <c r="CK32" s="1" t="s">
        <v>12</v>
      </c>
      <c r="CL32" s="81">
        <f t="shared" si="73"/>
        <v>3</v>
      </c>
      <c r="CM32" s="1">
        <v>1</v>
      </c>
      <c r="CN32" s="112">
        <f t="shared" si="74"/>
        <v>4</v>
      </c>
      <c r="CO32" s="1" t="s">
        <v>12</v>
      </c>
      <c r="CP32" s="81">
        <f t="shared" si="75"/>
        <v>3</v>
      </c>
      <c r="CQ32" s="1">
        <v>1</v>
      </c>
      <c r="CR32" s="112">
        <f t="shared" si="76"/>
        <v>4</v>
      </c>
      <c r="CS32" s="1" t="s">
        <v>11</v>
      </c>
      <c r="CT32" s="81">
        <f t="shared" si="77"/>
        <v>1</v>
      </c>
      <c r="CU32" s="1">
        <v>2</v>
      </c>
      <c r="CV32" s="112">
        <f t="shared" si="78"/>
        <v>3</v>
      </c>
      <c r="CW32" s="1" t="s">
        <v>14</v>
      </c>
      <c r="CX32" s="81">
        <f t="shared" si="79"/>
        <v>3</v>
      </c>
      <c r="CY32" s="1">
        <v>3</v>
      </c>
      <c r="CZ32" s="112">
        <f t="shared" si="80"/>
        <v>6</v>
      </c>
      <c r="DA32" s="1" t="s">
        <v>15</v>
      </c>
      <c r="DB32" s="81">
        <f t="shared" si="81"/>
        <v>1</v>
      </c>
      <c r="DC32" s="1">
        <v>4</v>
      </c>
      <c r="DD32" s="112">
        <f t="shared" si="82"/>
        <v>5</v>
      </c>
      <c r="DE32" s="152">
        <f t="shared" si="83"/>
        <v>22</v>
      </c>
      <c r="DF32" s="1" t="s">
        <v>11</v>
      </c>
      <c r="DG32" s="81">
        <f t="shared" si="4"/>
        <v>0</v>
      </c>
      <c r="DH32" s="1">
        <v>0</v>
      </c>
      <c r="DI32" s="112">
        <f t="shared" si="5"/>
        <v>0</v>
      </c>
      <c r="DJ32" s="1" t="s">
        <v>12</v>
      </c>
      <c r="DK32" s="81">
        <f t="shared" si="6"/>
        <v>0</v>
      </c>
      <c r="DL32" s="1">
        <v>1</v>
      </c>
      <c r="DM32" s="112">
        <f t="shared" si="7"/>
        <v>1</v>
      </c>
      <c r="DN32" s="1" t="s">
        <v>12</v>
      </c>
      <c r="DO32" s="81">
        <f t="shared" si="8"/>
        <v>0</v>
      </c>
      <c r="DP32" s="1">
        <v>2</v>
      </c>
      <c r="DQ32" s="112">
        <f t="shared" si="9"/>
        <v>2</v>
      </c>
      <c r="DR32" s="1" t="s">
        <v>12</v>
      </c>
      <c r="DS32" s="81">
        <f t="shared" si="10"/>
        <v>0</v>
      </c>
      <c r="DT32" s="1">
        <v>0</v>
      </c>
      <c r="DU32" s="112">
        <f t="shared" si="11"/>
        <v>0</v>
      </c>
      <c r="DV32" s="1" t="s">
        <v>14</v>
      </c>
      <c r="DW32" s="81">
        <f t="shared" si="12"/>
        <v>3</v>
      </c>
      <c r="DX32" s="1">
        <v>2</v>
      </c>
      <c r="DY32" s="112">
        <f t="shared" si="13"/>
        <v>5</v>
      </c>
      <c r="DZ32" s="152">
        <f t="shared" si="84"/>
        <v>8</v>
      </c>
      <c r="EA32" s="185" t="s">
        <v>15</v>
      </c>
      <c r="EB32" s="184">
        <f t="shared" si="14"/>
        <v>1</v>
      </c>
      <c r="EC32" s="185">
        <v>1</v>
      </c>
      <c r="ED32" s="112">
        <f t="shared" si="15"/>
        <v>2</v>
      </c>
      <c r="EE32" s="185" t="s">
        <v>11</v>
      </c>
      <c r="EF32" s="184">
        <f t="shared" si="16"/>
        <v>3</v>
      </c>
      <c r="EG32" s="185">
        <v>0</v>
      </c>
      <c r="EH32" s="112">
        <f t="shared" si="17"/>
        <v>3</v>
      </c>
      <c r="EI32" s="185" t="s">
        <v>15</v>
      </c>
      <c r="EJ32" s="184">
        <f t="shared" si="18"/>
        <v>3</v>
      </c>
      <c r="EK32" s="185">
        <v>3</v>
      </c>
      <c r="EL32" s="112">
        <f t="shared" si="19"/>
        <v>6</v>
      </c>
      <c r="EM32" s="186" t="s">
        <v>32</v>
      </c>
      <c r="EN32" s="187">
        <f t="shared" ca="1" si="20"/>
        <v>1.4848484848484849</v>
      </c>
      <c r="EO32" s="41">
        <f ca="1">IF(EM32="Out", $C32)</f>
        <v>1.1212121212121213</v>
      </c>
      <c r="EP32" s="113">
        <f t="shared" ca="1" si="21"/>
        <v>2.6060606060606064</v>
      </c>
      <c r="EQ32" s="186" t="s">
        <v>32</v>
      </c>
      <c r="ER32" s="187">
        <f t="shared" ca="1" si="22"/>
        <v>1.4848484848484849</v>
      </c>
      <c r="ES32" s="41">
        <f ca="1">IF(EQ32="Out", $C32)</f>
        <v>1.1212121212121213</v>
      </c>
      <c r="ET32" s="113">
        <f t="shared" ca="1" si="23"/>
        <v>2.6060606060606064</v>
      </c>
      <c r="EU32" s="152">
        <f t="shared" ca="1" si="85"/>
        <v>16.212121212121211</v>
      </c>
      <c r="EV32" s="1" t="s">
        <v>14</v>
      </c>
      <c r="EW32" s="184">
        <f t="shared" si="24"/>
        <v>1</v>
      </c>
      <c r="EX32" s="1">
        <v>1</v>
      </c>
      <c r="EY32" s="112">
        <f t="shared" si="25"/>
        <v>2</v>
      </c>
      <c r="EZ32" s="1" t="s">
        <v>15</v>
      </c>
      <c r="FA32" s="184">
        <f t="shared" si="26"/>
        <v>3</v>
      </c>
      <c r="FB32" s="1">
        <v>1</v>
      </c>
      <c r="FC32" s="112">
        <f t="shared" si="27"/>
        <v>4</v>
      </c>
      <c r="FD32" s="1" t="s">
        <v>12</v>
      </c>
      <c r="FE32" s="184">
        <f t="shared" si="28"/>
        <v>0</v>
      </c>
      <c r="FF32" s="1">
        <v>1</v>
      </c>
      <c r="FG32" s="112">
        <f t="shared" si="29"/>
        <v>1</v>
      </c>
      <c r="FH32" s="1" t="s">
        <v>15</v>
      </c>
      <c r="FI32" s="184">
        <f t="shared" si="30"/>
        <v>1</v>
      </c>
      <c r="FJ32" s="1">
        <v>1</v>
      </c>
      <c r="FK32" s="112">
        <f t="shared" si="31"/>
        <v>2</v>
      </c>
      <c r="FL32" s="152">
        <f t="shared" ca="1" si="86"/>
        <v>25.212121212121211</v>
      </c>
    </row>
    <row r="33" spans="1:168" x14ac:dyDescent="0.2">
      <c r="A33" s="3" t="s">
        <v>80</v>
      </c>
      <c r="B33" s="4" t="s">
        <v>81</v>
      </c>
      <c r="C33" s="65">
        <f t="shared" si="32"/>
        <v>0.20512820512820512</v>
      </c>
      <c r="D33" s="65">
        <f t="shared" si="33"/>
        <v>1.2564102564102564</v>
      </c>
      <c r="E33" s="15" t="s">
        <v>15</v>
      </c>
      <c r="F33" s="16">
        <f t="shared" si="0"/>
        <v>0</v>
      </c>
      <c r="G33" s="1">
        <v>0</v>
      </c>
      <c r="H33" s="1">
        <f t="shared" si="34"/>
        <v>0</v>
      </c>
      <c r="I33" s="15" t="s">
        <v>12</v>
      </c>
      <c r="J33" s="16">
        <f t="shared" si="1"/>
        <v>3</v>
      </c>
      <c r="K33" s="78">
        <v>1</v>
      </c>
      <c r="L33" s="1">
        <f t="shared" si="35"/>
        <v>4</v>
      </c>
      <c r="M33" s="15" t="s">
        <v>11</v>
      </c>
      <c r="N33" s="16">
        <f t="shared" si="2"/>
        <v>0</v>
      </c>
      <c r="O33" s="1">
        <v>0</v>
      </c>
      <c r="P33" s="1">
        <f t="shared" si="36"/>
        <v>0</v>
      </c>
      <c r="Q33" s="15" t="s">
        <v>14</v>
      </c>
      <c r="R33" s="16">
        <f t="shared" si="3"/>
        <v>0</v>
      </c>
      <c r="S33" s="1">
        <v>0</v>
      </c>
      <c r="T33" s="1">
        <f t="shared" si="37"/>
        <v>0</v>
      </c>
      <c r="U33" s="15" t="s">
        <v>12</v>
      </c>
      <c r="V33" s="16">
        <f t="shared" si="38"/>
        <v>0</v>
      </c>
      <c r="W33" s="1">
        <v>0</v>
      </c>
      <c r="X33" s="1">
        <f t="shared" si="39"/>
        <v>0</v>
      </c>
      <c r="Y33" s="95">
        <f t="shared" si="40"/>
        <v>4</v>
      </c>
      <c r="Z33" s="28" t="s">
        <v>11</v>
      </c>
      <c r="AA33" s="81">
        <f t="shared" ref="AA33:AA36" si="88">IF(Z33="Out", VALUE($D33), IF(OR(AC$3="", AC$4=""),"", IF(Z33=Z$3, IF(AA$3=AC$3, $B$3, IF(AA$3&gt;AC$3, $B$2, $B$4)),
 IF(Z33=AB$3, IF(AC$3=AA$3, $B$3, IF(AC$3&gt;AA$3, $B$2, $B$4)),
 IF(Z33=Z$4, IF(AA$4=AC$4, $B$3, IF(AA$4&gt;AC$4, $B$2, $B$4)),
 IF(Z33=AB$4, IF(AC$4=AA$4, $B$3, IF(AC$4&gt;AA$4, $B$2, $B$4)), ""))))))</f>
        <v>0</v>
      </c>
      <c r="AB33" s="87">
        <v>0</v>
      </c>
      <c r="AC33" s="78">
        <f t="shared" si="41"/>
        <v>0</v>
      </c>
      <c r="AD33" s="28" t="s">
        <v>11</v>
      </c>
      <c r="AE33" s="16">
        <f t="shared" si="42"/>
        <v>3</v>
      </c>
      <c r="AF33" s="27">
        <v>0</v>
      </c>
      <c r="AG33" s="1">
        <f t="shared" si="43"/>
        <v>3</v>
      </c>
      <c r="AH33" s="28" t="s">
        <v>14</v>
      </c>
      <c r="AI33" s="16">
        <f t="shared" si="44"/>
        <v>0</v>
      </c>
      <c r="AJ33" s="27">
        <v>0</v>
      </c>
      <c r="AK33" s="17">
        <f t="shared" si="45"/>
        <v>0</v>
      </c>
      <c r="AL33" s="27" t="s">
        <v>15</v>
      </c>
      <c r="AM33" s="16">
        <f t="shared" si="46"/>
        <v>1</v>
      </c>
      <c r="AN33" s="27">
        <v>0</v>
      </c>
      <c r="AO33" s="1">
        <f t="shared" si="47"/>
        <v>1</v>
      </c>
      <c r="AP33" s="28" t="s">
        <v>15</v>
      </c>
      <c r="AQ33" s="16">
        <f t="shared" si="48"/>
        <v>0</v>
      </c>
      <c r="AR33" s="27">
        <v>0</v>
      </c>
      <c r="AS33" s="1">
        <f t="shared" si="49"/>
        <v>0</v>
      </c>
      <c r="AT33" s="95">
        <f t="shared" si="50"/>
        <v>4</v>
      </c>
      <c r="AU33" s="98" t="s">
        <v>15</v>
      </c>
      <c r="AV33" s="81">
        <f t="shared" si="51"/>
        <v>0</v>
      </c>
      <c r="AW33" s="1">
        <v>0</v>
      </c>
      <c r="AX33" s="112">
        <f t="shared" si="52"/>
        <v>0</v>
      </c>
      <c r="AY33" s="1" t="s">
        <v>12</v>
      </c>
      <c r="AZ33" s="81">
        <f t="shared" si="53"/>
        <v>1</v>
      </c>
      <c r="BA33" s="1">
        <v>0</v>
      </c>
      <c r="BB33" s="112">
        <f t="shared" si="54"/>
        <v>1</v>
      </c>
      <c r="BC33" s="1" t="s">
        <v>14</v>
      </c>
      <c r="BD33" s="81">
        <f t="shared" si="55"/>
        <v>1</v>
      </c>
      <c r="BE33" s="1">
        <v>0</v>
      </c>
      <c r="BF33" s="78">
        <f t="shared" si="56"/>
        <v>1</v>
      </c>
      <c r="BG33" s="98" t="s">
        <v>11</v>
      </c>
      <c r="BH33" s="81">
        <f t="shared" si="57"/>
        <v>3</v>
      </c>
      <c r="BI33" s="1">
        <v>0</v>
      </c>
      <c r="BJ33" s="78">
        <f t="shared" si="58"/>
        <v>3</v>
      </c>
      <c r="BK33" s="98" t="s">
        <v>11</v>
      </c>
      <c r="BL33" s="81">
        <f t="shared" si="59"/>
        <v>3</v>
      </c>
      <c r="BM33" s="1">
        <v>0</v>
      </c>
      <c r="BN33" s="78">
        <f t="shared" si="60"/>
        <v>3</v>
      </c>
      <c r="BO33" s="95">
        <f t="shared" si="61"/>
        <v>8</v>
      </c>
      <c r="BP33" s="98" t="s">
        <v>11</v>
      </c>
      <c r="BQ33" s="81">
        <f t="shared" si="62"/>
        <v>0</v>
      </c>
      <c r="BR33" s="1">
        <v>0</v>
      </c>
      <c r="BS33" s="112">
        <f t="shared" si="63"/>
        <v>0</v>
      </c>
      <c r="BT33" s="98" t="s">
        <v>14</v>
      </c>
      <c r="BU33" s="81">
        <f t="shared" si="64"/>
        <v>3</v>
      </c>
      <c r="BV33" s="1">
        <v>0</v>
      </c>
      <c r="BW33" s="112">
        <f t="shared" si="65"/>
        <v>3</v>
      </c>
      <c r="BX33" s="98" t="s">
        <v>14</v>
      </c>
      <c r="BY33" s="81">
        <f t="shared" si="66"/>
        <v>0</v>
      </c>
      <c r="BZ33" s="1">
        <v>0</v>
      </c>
      <c r="CA33" s="112">
        <f t="shared" si="67"/>
        <v>0</v>
      </c>
      <c r="CB33" s="98" t="s">
        <v>15</v>
      </c>
      <c r="CC33" s="81">
        <f t="shared" si="68"/>
        <v>3</v>
      </c>
      <c r="CD33" s="1">
        <v>0</v>
      </c>
      <c r="CE33" s="112">
        <f t="shared" si="69"/>
        <v>3</v>
      </c>
      <c r="CF33" s="98" t="s">
        <v>11</v>
      </c>
      <c r="CG33" s="81">
        <f t="shared" si="70"/>
        <v>3</v>
      </c>
      <c r="CH33" s="1">
        <v>0</v>
      </c>
      <c r="CI33" s="112">
        <f t="shared" si="71"/>
        <v>3</v>
      </c>
      <c r="CJ33" s="152">
        <f t="shared" si="72"/>
        <v>9</v>
      </c>
      <c r="CK33" s="1" t="s">
        <v>12</v>
      </c>
      <c r="CL33" s="81">
        <f t="shared" si="73"/>
        <v>3</v>
      </c>
      <c r="CM33" s="1">
        <v>0</v>
      </c>
      <c r="CN33" s="112">
        <f t="shared" si="74"/>
        <v>3</v>
      </c>
      <c r="CO33" s="1" t="s">
        <v>15</v>
      </c>
      <c r="CP33" s="81">
        <f t="shared" si="75"/>
        <v>3</v>
      </c>
      <c r="CQ33" s="1">
        <v>0</v>
      </c>
      <c r="CR33" s="112">
        <f t="shared" si="76"/>
        <v>3</v>
      </c>
      <c r="CS33" s="1" t="s">
        <v>15</v>
      </c>
      <c r="CT33" s="81">
        <f t="shared" si="77"/>
        <v>3</v>
      </c>
      <c r="CU33" s="1">
        <v>1</v>
      </c>
      <c r="CV33" s="112">
        <f t="shared" si="78"/>
        <v>4</v>
      </c>
      <c r="CW33" s="1" t="s">
        <v>12</v>
      </c>
      <c r="CX33" s="81">
        <f t="shared" si="79"/>
        <v>0</v>
      </c>
      <c r="CY33" s="1">
        <v>0</v>
      </c>
      <c r="CZ33" s="112">
        <f t="shared" si="80"/>
        <v>0</v>
      </c>
      <c r="DA33" s="1" t="s">
        <v>11</v>
      </c>
      <c r="DB33" s="81">
        <f t="shared" si="81"/>
        <v>3</v>
      </c>
      <c r="DC33" s="1">
        <v>0</v>
      </c>
      <c r="DD33" s="112">
        <f t="shared" si="82"/>
        <v>3</v>
      </c>
      <c r="DE33" s="152">
        <f t="shared" si="83"/>
        <v>13</v>
      </c>
      <c r="DF33" s="1" t="s">
        <v>12</v>
      </c>
      <c r="DG33" s="81">
        <f t="shared" si="4"/>
        <v>3</v>
      </c>
      <c r="DH33" s="1">
        <v>0</v>
      </c>
      <c r="DI33" s="112">
        <f t="shared" si="5"/>
        <v>3</v>
      </c>
      <c r="DJ33" s="1" t="s">
        <v>12</v>
      </c>
      <c r="DK33" s="81">
        <f t="shared" si="6"/>
        <v>0</v>
      </c>
      <c r="DL33" s="1">
        <v>0</v>
      </c>
      <c r="DM33" s="112">
        <f t="shared" si="7"/>
        <v>0</v>
      </c>
      <c r="DN33" s="1" t="s">
        <v>11</v>
      </c>
      <c r="DO33" s="81">
        <f t="shared" si="8"/>
        <v>3</v>
      </c>
      <c r="DP33" s="1">
        <v>2</v>
      </c>
      <c r="DQ33" s="112">
        <f t="shared" si="9"/>
        <v>5</v>
      </c>
      <c r="DR33" s="1" t="s">
        <v>15</v>
      </c>
      <c r="DS33" s="81">
        <f t="shared" si="10"/>
        <v>3</v>
      </c>
      <c r="DT33" s="1">
        <v>0</v>
      </c>
      <c r="DU33" s="112">
        <f t="shared" si="11"/>
        <v>3</v>
      </c>
      <c r="DV33" s="1" t="s">
        <v>15</v>
      </c>
      <c r="DW33" s="81">
        <f t="shared" si="12"/>
        <v>0</v>
      </c>
      <c r="DX33" s="1">
        <v>0</v>
      </c>
      <c r="DY33" s="112">
        <f t="shared" si="13"/>
        <v>0</v>
      </c>
      <c r="DZ33" s="152">
        <f t="shared" si="84"/>
        <v>11</v>
      </c>
      <c r="EA33" s="185" t="s">
        <v>11</v>
      </c>
      <c r="EB33" s="184">
        <f t="shared" si="14"/>
        <v>1</v>
      </c>
      <c r="EC33" s="185">
        <v>1</v>
      </c>
      <c r="ED33" s="112">
        <f t="shared" si="15"/>
        <v>2</v>
      </c>
      <c r="EE33" s="185" t="s">
        <v>14</v>
      </c>
      <c r="EF33" s="184">
        <f t="shared" si="16"/>
        <v>0</v>
      </c>
      <c r="EG33" s="185">
        <v>0</v>
      </c>
      <c r="EH33" s="112">
        <f t="shared" si="17"/>
        <v>0</v>
      </c>
      <c r="EI33" s="185" t="s">
        <v>14</v>
      </c>
      <c r="EJ33" s="184">
        <f t="shared" si="18"/>
        <v>0</v>
      </c>
      <c r="EK33" s="185">
        <v>0</v>
      </c>
      <c r="EL33" s="112">
        <f t="shared" si="19"/>
        <v>0</v>
      </c>
      <c r="EM33" s="185" t="s">
        <v>12</v>
      </c>
      <c r="EN33" s="184">
        <f t="shared" si="20"/>
        <v>3</v>
      </c>
      <c r="EO33" s="185">
        <v>0</v>
      </c>
      <c r="EP33" s="112">
        <f t="shared" si="21"/>
        <v>3</v>
      </c>
      <c r="EQ33" s="185" t="s">
        <v>11</v>
      </c>
      <c r="ER33" s="184">
        <f t="shared" si="22"/>
        <v>0</v>
      </c>
      <c r="ES33" s="185">
        <v>2</v>
      </c>
      <c r="ET33" s="112">
        <f t="shared" si="23"/>
        <v>2</v>
      </c>
      <c r="EU33" s="152">
        <f t="shared" si="85"/>
        <v>7</v>
      </c>
      <c r="EV33" s="98" t="s">
        <v>11</v>
      </c>
      <c r="EW33" s="189">
        <f t="shared" si="24"/>
        <v>0</v>
      </c>
      <c r="EX33" s="182">
        <v>0</v>
      </c>
      <c r="EY33" s="112">
        <f t="shared" si="25"/>
        <v>0</v>
      </c>
      <c r="EZ33" s="182" t="s">
        <v>14</v>
      </c>
      <c r="FA33" s="189">
        <f t="shared" si="26"/>
        <v>0</v>
      </c>
      <c r="FB33" s="182">
        <v>0</v>
      </c>
      <c r="FC33" s="112">
        <f t="shared" si="27"/>
        <v>0</v>
      </c>
      <c r="FD33" s="182" t="s">
        <v>14</v>
      </c>
      <c r="FE33" s="189">
        <f t="shared" si="28"/>
        <v>0</v>
      </c>
      <c r="FF33" s="182">
        <v>1</v>
      </c>
      <c r="FG33" s="112">
        <f t="shared" si="29"/>
        <v>1</v>
      </c>
      <c r="FH33" s="182" t="s">
        <v>11</v>
      </c>
      <c r="FI33" s="189">
        <f t="shared" si="30"/>
        <v>0</v>
      </c>
      <c r="FJ33" s="182">
        <v>0</v>
      </c>
      <c r="FK33" s="112">
        <f t="shared" si="31"/>
        <v>0</v>
      </c>
      <c r="FL33" s="152">
        <f t="shared" si="86"/>
        <v>8</v>
      </c>
    </row>
    <row r="34" spans="1:168" x14ac:dyDescent="0.2">
      <c r="A34" s="3" t="s">
        <v>82</v>
      </c>
      <c r="B34" s="4" t="s">
        <v>83</v>
      </c>
      <c r="C34" s="65">
        <f t="shared" si="32"/>
        <v>0.82051282051282048</v>
      </c>
      <c r="D34" s="65">
        <f t="shared" si="33"/>
        <v>1.4102564102564104</v>
      </c>
      <c r="E34" s="15" t="s">
        <v>15</v>
      </c>
      <c r="F34" s="16">
        <f t="shared" si="0"/>
        <v>0</v>
      </c>
      <c r="G34" s="1">
        <v>0</v>
      </c>
      <c r="H34" s="1">
        <f t="shared" si="34"/>
        <v>0</v>
      </c>
      <c r="I34" s="15" t="s">
        <v>11</v>
      </c>
      <c r="J34" s="16">
        <f t="shared" si="1"/>
        <v>0</v>
      </c>
      <c r="K34" s="78">
        <v>1</v>
      </c>
      <c r="L34" s="1">
        <f t="shared" si="35"/>
        <v>1</v>
      </c>
      <c r="M34" s="15" t="s">
        <v>15</v>
      </c>
      <c r="N34" s="16">
        <f t="shared" si="2"/>
        <v>0</v>
      </c>
      <c r="O34" s="1">
        <v>1</v>
      </c>
      <c r="P34" s="1">
        <f t="shared" si="36"/>
        <v>1</v>
      </c>
      <c r="Q34" s="15" t="s">
        <v>14</v>
      </c>
      <c r="R34" s="16">
        <f t="shared" si="3"/>
        <v>0</v>
      </c>
      <c r="S34" s="1">
        <v>0</v>
      </c>
      <c r="T34" s="1">
        <f t="shared" si="37"/>
        <v>0</v>
      </c>
      <c r="U34" s="15" t="s">
        <v>12</v>
      </c>
      <c r="V34" s="16">
        <f t="shared" si="38"/>
        <v>0</v>
      </c>
      <c r="W34" s="1">
        <v>0</v>
      </c>
      <c r="X34" s="1">
        <f t="shared" si="39"/>
        <v>0</v>
      </c>
      <c r="Y34" s="95">
        <f t="shared" si="40"/>
        <v>2</v>
      </c>
      <c r="Z34" s="28" t="s">
        <v>14</v>
      </c>
      <c r="AA34" s="81">
        <f t="shared" si="88"/>
        <v>0</v>
      </c>
      <c r="AB34" s="87">
        <v>1</v>
      </c>
      <c r="AC34" s="78">
        <f t="shared" si="41"/>
        <v>1</v>
      </c>
      <c r="AD34" s="28" t="s">
        <v>14</v>
      </c>
      <c r="AE34" s="16">
        <f t="shared" si="42"/>
        <v>0</v>
      </c>
      <c r="AF34" s="27">
        <v>0</v>
      </c>
      <c r="AG34" s="1">
        <f t="shared" si="43"/>
        <v>0</v>
      </c>
      <c r="AH34" s="28" t="s">
        <v>14</v>
      </c>
      <c r="AI34" s="16">
        <f t="shared" si="44"/>
        <v>0</v>
      </c>
      <c r="AJ34" s="27">
        <v>0</v>
      </c>
      <c r="AK34" s="17">
        <f t="shared" si="45"/>
        <v>0</v>
      </c>
      <c r="AL34" s="27" t="s">
        <v>14</v>
      </c>
      <c r="AM34" s="16">
        <f t="shared" si="46"/>
        <v>1</v>
      </c>
      <c r="AN34" s="27">
        <v>1</v>
      </c>
      <c r="AO34" s="1">
        <f t="shared" si="47"/>
        <v>2</v>
      </c>
      <c r="AP34" s="28" t="s">
        <v>15</v>
      </c>
      <c r="AQ34" s="16">
        <f t="shared" si="48"/>
        <v>0</v>
      </c>
      <c r="AR34" s="27">
        <v>1</v>
      </c>
      <c r="AS34" s="1">
        <f t="shared" si="49"/>
        <v>1</v>
      </c>
      <c r="AT34" s="95">
        <f t="shared" si="50"/>
        <v>4</v>
      </c>
      <c r="AU34" s="98" t="s">
        <v>11</v>
      </c>
      <c r="AV34" s="81">
        <f t="shared" si="51"/>
        <v>0</v>
      </c>
      <c r="AW34" s="1">
        <v>3</v>
      </c>
      <c r="AX34" s="112">
        <f t="shared" si="52"/>
        <v>3</v>
      </c>
      <c r="AY34" s="1" t="s">
        <v>14</v>
      </c>
      <c r="AZ34" s="81">
        <f t="shared" si="53"/>
        <v>3</v>
      </c>
      <c r="BA34" s="1">
        <v>1</v>
      </c>
      <c r="BB34" s="112">
        <f t="shared" si="54"/>
        <v>4</v>
      </c>
      <c r="BC34" s="1" t="s">
        <v>11</v>
      </c>
      <c r="BD34" s="81">
        <f t="shared" si="55"/>
        <v>3</v>
      </c>
      <c r="BE34" s="1">
        <v>0</v>
      </c>
      <c r="BF34" s="78">
        <f t="shared" si="56"/>
        <v>3</v>
      </c>
      <c r="BG34" s="98" t="s">
        <v>11</v>
      </c>
      <c r="BH34" s="81">
        <f t="shared" si="57"/>
        <v>3</v>
      </c>
      <c r="BI34" s="1">
        <v>0</v>
      </c>
      <c r="BJ34" s="78">
        <f t="shared" si="58"/>
        <v>3</v>
      </c>
      <c r="BK34" s="98" t="s">
        <v>15</v>
      </c>
      <c r="BL34" s="81">
        <f t="shared" si="59"/>
        <v>3</v>
      </c>
      <c r="BM34" s="1">
        <v>0</v>
      </c>
      <c r="BN34" s="78">
        <f t="shared" si="60"/>
        <v>3</v>
      </c>
      <c r="BO34" s="95">
        <f t="shared" si="61"/>
        <v>16</v>
      </c>
      <c r="BP34" s="98" t="s">
        <v>11</v>
      </c>
      <c r="BQ34" s="81">
        <f t="shared" si="62"/>
        <v>0</v>
      </c>
      <c r="BR34" s="1">
        <v>0</v>
      </c>
      <c r="BS34" s="112">
        <f t="shared" si="63"/>
        <v>0</v>
      </c>
      <c r="BT34" s="98" t="s">
        <v>14</v>
      </c>
      <c r="BU34" s="81">
        <f t="shared" si="64"/>
        <v>3</v>
      </c>
      <c r="BV34" s="1">
        <v>1</v>
      </c>
      <c r="BW34" s="112">
        <f t="shared" si="65"/>
        <v>4</v>
      </c>
      <c r="BX34" s="98" t="s">
        <v>12</v>
      </c>
      <c r="BY34" s="81">
        <f t="shared" si="66"/>
        <v>3</v>
      </c>
      <c r="BZ34" s="1">
        <v>0</v>
      </c>
      <c r="CA34" s="112">
        <f t="shared" si="67"/>
        <v>3</v>
      </c>
      <c r="CB34" s="98" t="s">
        <v>14</v>
      </c>
      <c r="CC34" s="81">
        <f t="shared" si="68"/>
        <v>0</v>
      </c>
      <c r="CD34" s="1">
        <v>0</v>
      </c>
      <c r="CE34" s="112">
        <f t="shared" si="69"/>
        <v>0</v>
      </c>
      <c r="CF34" s="98" t="s">
        <v>15</v>
      </c>
      <c r="CG34" s="81">
        <f t="shared" si="70"/>
        <v>3</v>
      </c>
      <c r="CH34" s="1">
        <v>0</v>
      </c>
      <c r="CI34" s="112">
        <f t="shared" si="71"/>
        <v>3</v>
      </c>
      <c r="CJ34" s="152">
        <f t="shared" si="72"/>
        <v>10</v>
      </c>
      <c r="CK34" s="1" t="s">
        <v>12</v>
      </c>
      <c r="CL34" s="81">
        <f t="shared" si="73"/>
        <v>3</v>
      </c>
      <c r="CM34" s="1">
        <v>2</v>
      </c>
      <c r="CN34" s="112">
        <f t="shared" si="74"/>
        <v>5</v>
      </c>
      <c r="CO34" s="1" t="s">
        <v>12</v>
      </c>
      <c r="CP34" s="81">
        <f t="shared" si="75"/>
        <v>3</v>
      </c>
      <c r="CQ34" s="1">
        <v>1</v>
      </c>
      <c r="CR34" s="112">
        <f t="shared" si="76"/>
        <v>4</v>
      </c>
      <c r="CS34" s="1" t="s">
        <v>14</v>
      </c>
      <c r="CT34" s="81">
        <f t="shared" si="77"/>
        <v>0</v>
      </c>
      <c r="CU34" s="1">
        <v>0</v>
      </c>
      <c r="CV34" s="112">
        <f t="shared" si="78"/>
        <v>0</v>
      </c>
      <c r="CW34" s="1" t="s">
        <v>12</v>
      </c>
      <c r="CX34" s="81">
        <f t="shared" si="79"/>
        <v>0</v>
      </c>
      <c r="CY34" s="1">
        <v>1</v>
      </c>
      <c r="CZ34" s="112">
        <f t="shared" si="80"/>
        <v>1</v>
      </c>
      <c r="DA34" s="1" t="s">
        <v>14</v>
      </c>
      <c r="DB34" s="81">
        <f t="shared" si="81"/>
        <v>1</v>
      </c>
      <c r="DC34" s="1">
        <v>2</v>
      </c>
      <c r="DD34" s="112">
        <f t="shared" si="82"/>
        <v>3</v>
      </c>
      <c r="DE34" s="152">
        <f t="shared" si="83"/>
        <v>13</v>
      </c>
      <c r="DF34" s="1" t="s">
        <v>15</v>
      </c>
      <c r="DG34" s="81">
        <f t="shared" si="4"/>
        <v>3</v>
      </c>
      <c r="DH34" s="1">
        <v>0</v>
      </c>
      <c r="DI34" s="112">
        <f t="shared" si="5"/>
        <v>3</v>
      </c>
      <c r="DJ34" s="1" t="s">
        <v>12</v>
      </c>
      <c r="DK34" s="81">
        <f t="shared" si="6"/>
        <v>0</v>
      </c>
      <c r="DL34" s="1">
        <v>2</v>
      </c>
      <c r="DM34" s="112">
        <f t="shared" si="7"/>
        <v>2</v>
      </c>
      <c r="DN34" s="1" t="s">
        <v>12</v>
      </c>
      <c r="DO34" s="81">
        <f t="shared" si="8"/>
        <v>0</v>
      </c>
      <c r="DP34" s="1">
        <v>0</v>
      </c>
      <c r="DQ34" s="112">
        <f t="shared" si="9"/>
        <v>0</v>
      </c>
      <c r="DR34" s="1" t="s">
        <v>12</v>
      </c>
      <c r="DS34" s="81">
        <f t="shared" si="10"/>
        <v>0</v>
      </c>
      <c r="DT34" s="1">
        <v>0</v>
      </c>
      <c r="DU34" s="112">
        <f t="shared" si="11"/>
        <v>0</v>
      </c>
      <c r="DV34" s="1" t="s">
        <v>12</v>
      </c>
      <c r="DW34" s="81">
        <f t="shared" si="12"/>
        <v>3</v>
      </c>
      <c r="DX34" s="1">
        <v>1</v>
      </c>
      <c r="DY34" s="112">
        <f t="shared" si="13"/>
        <v>4</v>
      </c>
      <c r="DZ34" s="152">
        <f t="shared" si="84"/>
        <v>9</v>
      </c>
      <c r="EA34" s="185" t="s">
        <v>14</v>
      </c>
      <c r="EB34" s="184">
        <f t="shared" si="14"/>
        <v>1</v>
      </c>
      <c r="EC34" s="185">
        <v>1</v>
      </c>
      <c r="ED34" s="112">
        <f t="shared" si="15"/>
        <v>2</v>
      </c>
      <c r="EE34" s="185" t="s">
        <v>15</v>
      </c>
      <c r="EF34" s="184">
        <f t="shared" si="16"/>
        <v>3</v>
      </c>
      <c r="EG34" s="185">
        <v>1</v>
      </c>
      <c r="EH34" s="112">
        <f t="shared" si="17"/>
        <v>4</v>
      </c>
      <c r="EI34" s="185" t="s">
        <v>11</v>
      </c>
      <c r="EJ34" s="184">
        <f t="shared" si="18"/>
        <v>3</v>
      </c>
      <c r="EK34" s="185">
        <v>0</v>
      </c>
      <c r="EL34" s="112">
        <f t="shared" si="19"/>
        <v>3</v>
      </c>
      <c r="EM34" s="185" t="s">
        <v>14</v>
      </c>
      <c r="EN34" s="184">
        <f t="shared" si="20"/>
        <v>1</v>
      </c>
      <c r="EO34" s="185">
        <v>0</v>
      </c>
      <c r="EP34" s="112">
        <f t="shared" si="21"/>
        <v>1</v>
      </c>
      <c r="EQ34" s="185" t="s">
        <v>12</v>
      </c>
      <c r="ER34" s="184">
        <f t="shared" si="22"/>
        <v>3</v>
      </c>
      <c r="ES34" s="185">
        <v>2</v>
      </c>
      <c r="ET34" s="112">
        <f t="shared" si="23"/>
        <v>5</v>
      </c>
      <c r="EU34" s="152">
        <f t="shared" si="85"/>
        <v>15</v>
      </c>
      <c r="EV34" s="98" t="s">
        <v>12</v>
      </c>
      <c r="EW34" s="189">
        <f t="shared" si="24"/>
        <v>3</v>
      </c>
      <c r="EX34" s="182">
        <v>2</v>
      </c>
      <c r="EY34" s="112">
        <f t="shared" si="25"/>
        <v>5</v>
      </c>
      <c r="EZ34" s="182" t="s">
        <v>11</v>
      </c>
      <c r="FA34" s="189">
        <f t="shared" si="26"/>
        <v>3</v>
      </c>
      <c r="FB34" s="182">
        <v>1</v>
      </c>
      <c r="FC34" s="112">
        <f t="shared" si="27"/>
        <v>4</v>
      </c>
      <c r="FD34" s="182" t="s">
        <v>14</v>
      </c>
      <c r="FE34" s="189">
        <f t="shared" si="28"/>
        <v>0</v>
      </c>
      <c r="FF34" s="182">
        <v>2</v>
      </c>
      <c r="FG34" s="112">
        <f t="shared" si="29"/>
        <v>2</v>
      </c>
      <c r="FH34" s="182" t="s">
        <v>12</v>
      </c>
      <c r="FI34" s="189">
        <f t="shared" si="30"/>
        <v>3</v>
      </c>
      <c r="FJ34" s="182">
        <v>4</v>
      </c>
      <c r="FK34" s="112">
        <f t="shared" si="31"/>
        <v>7</v>
      </c>
      <c r="FL34" s="152">
        <f t="shared" si="86"/>
        <v>33</v>
      </c>
    </row>
    <row r="35" spans="1:168" x14ac:dyDescent="0.2">
      <c r="A35" s="3" t="s">
        <v>84</v>
      </c>
      <c r="B35" s="4" t="s">
        <v>85</v>
      </c>
      <c r="C35" s="65">
        <f t="shared" ca="1" si="32"/>
        <v>0.16666666666666666</v>
      </c>
      <c r="D35" s="65">
        <f t="shared" ca="1" si="33"/>
        <v>1.3793103448275865</v>
      </c>
      <c r="E35" s="15" t="s">
        <v>11</v>
      </c>
      <c r="F35" s="16">
        <f t="shared" si="0"/>
        <v>0</v>
      </c>
      <c r="G35" s="1">
        <v>0</v>
      </c>
      <c r="H35" s="1">
        <f t="shared" si="34"/>
        <v>0</v>
      </c>
      <c r="I35" s="15" t="s">
        <v>15</v>
      </c>
      <c r="J35" s="16">
        <f t="shared" si="1"/>
        <v>0</v>
      </c>
      <c r="K35" s="78">
        <v>0</v>
      </c>
      <c r="L35" s="1">
        <f t="shared" si="35"/>
        <v>0</v>
      </c>
      <c r="M35" s="15" t="s">
        <v>11</v>
      </c>
      <c r="N35" s="16">
        <f t="shared" si="2"/>
        <v>0</v>
      </c>
      <c r="O35" s="1">
        <v>0</v>
      </c>
      <c r="P35" s="1">
        <f t="shared" si="36"/>
        <v>0</v>
      </c>
      <c r="Q35" s="15" t="s">
        <v>15</v>
      </c>
      <c r="R35" s="16">
        <f t="shared" si="3"/>
        <v>3</v>
      </c>
      <c r="S35" s="1">
        <v>1</v>
      </c>
      <c r="T35" s="1">
        <f t="shared" si="37"/>
        <v>4</v>
      </c>
      <c r="U35" s="15" t="s">
        <v>14</v>
      </c>
      <c r="V35" s="16">
        <f t="shared" si="38"/>
        <v>3</v>
      </c>
      <c r="W35" s="1">
        <v>0</v>
      </c>
      <c r="X35" s="1">
        <f t="shared" si="39"/>
        <v>3</v>
      </c>
      <c r="Y35" s="95">
        <f t="shared" si="40"/>
        <v>7</v>
      </c>
      <c r="Z35" s="39" t="s">
        <v>32</v>
      </c>
      <c r="AA35" s="84">
        <f t="shared" ca="1" si="88"/>
        <v>1.3793103448275865</v>
      </c>
      <c r="AB35" s="85">
        <f ca="1">IF(Z35="Out", C35)</f>
        <v>0.16666666666666666</v>
      </c>
      <c r="AC35" s="86">
        <f t="shared" ca="1" si="41"/>
        <v>1.5459770114942533</v>
      </c>
      <c r="AD35" s="39" t="s">
        <v>32</v>
      </c>
      <c r="AE35" s="40">
        <f t="shared" ca="1" si="42"/>
        <v>1.3793103448275865</v>
      </c>
      <c r="AF35" s="41">
        <f ca="1">IF(AD35="Out", $C35)</f>
        <v>0.16666666666666666</v>
      </c>
      <c r="AG35" s="42">
        <f t="shared" ca="1" si="43"/>
        <v>1.5459770114942533</v>
      </c>
      <c r="AH35" s="39" t="s">
        <v>32</v>
      </c>
      <c r="AI35" s="40">
        <f ca="1">IF(AH35="Out", VALUE($D35), IF(OR(AK$3="", AK$4=""),"", IF(AH35=AH$3, IF(AI$3=AK$3, $B$3, IF(AI$3&gt;AK$3, $B$2, $B$4)),
 IF(AH35=AJ$3, IF(AK$3=AI$3, $B$3, IF(AK$3&gt;AI$3, $B$2, $B$4)),
 IF(AH35=AH$4, IF(AI$4=AK$4, $B$3, IF(AI$4&gt;AK$4, $B$2, $B$4)),
 IF(AH35=AJ$4, IF(AK$4=AI$4, $B$3, IF(AK$4&gt;AI$4, $B$2, $B$4)), ""))))))</f>
        <v>1.3793103448275865</v>
      </c>
      <c r="AJ35" s="41">
        <f ca="1">IF(AH35="Out", $C35)</f>
        <v>0.16666666666666666</v>
      </c>
      <c r="AK35" s="43">
        <f t="shared" ca="1" si="45"/>
        <v>1.5459770114942533</v>
      </c>
      <c r="AL35" s="41" t="s">
        <v>32</v>
      </c>
      <c r="AM35" s="40">
        <f ca="1">IF(AL35="Out", VALUE($D35), IF(OR(AO$3="", AO$4=""),"", IF(AL35=AL$3, IF(AM$3=AO$3, $B$3, IF(AM$3&gt;AO$3, $B$2, $B$4)),
 IF(AL35=AN$3, IF(AO$3=AM$3, $B$3, IF(AO$3&gt;AM$3, $B$2, $B$4)),
 IF(AL35=AL$4, IF(AM$4=AO$4, $B$3, IF(AM$4&gt;AO$4, $B$2, $B$4)),
 IF(AL35=AN$4, IF(AO$4=AM$4, $B$3, IF(AO$4&gt;AM$4, $B$2, $B$4)), ""))))))</f>
        <v>1.3793103448275865</v>
      </c>
      <c r="AN35" s="41">
        <v>0</v>
      </c>
      <c r="AO35" s="42">
        <f t="shared" ca="1" si="47"/>
        <v>1.3793103448275865</v>
      </c>
      <c r="AP35" s="39" t="s">
        <v>32</v>
      </c>
      <c r="AQ35" s="40">
        <f ca="1">IF(AP35="Out", VALUE($D35), IF(OR(AS$3="", AS$4=""),"", IF(AP35=AP$3, IF(AQ$3=AS$3, $B$3, IF(AQ$3&gt;AS$3, $B$2, $B$4)),
 IF(AP35=AR$3, IF(AS$3=AQ$3, $B$3, IF(AS$3&gt;AQ$3, $B$2, $B$4)),
 IF(AP35=AP$4, IF(AQ$4=AS$4, $B$3, IF(AQ$4&gt;AS$4, $B$2, $B$4)),
 IF(AP35=AR$4, IF(AS$4=AQ$4, $B$3, IF(AS$4&gt;AQ$4, $B$2, $B$4)), ""))))))</f>
        <v>1.3793103448275865</v>
      </c>
      <c r="AR35" s="41">
        <f ca="1">IF(AP35="Out", $C35)</f>
        <v>0.16666666666666666</v>
      </c>
      <c r="AS35" s="42">
        <f t="shared" ca="1" si="49"/>
        <v>1.5459770114942533</v>
      </c>
      <c r="AT35" s="95">
        <f t="shared" ca="1" si="50"/>
        <v>7.5632183908045993</v>
      </c>
      <c r="AU35" s="103" t="s">
        <v>32</v>
      </c>
      <c r="AV35" s="84">
        <f t="shared" ca="1" si="51"/>
        <v>1.3793103448275865</v>
      </c>
      <c r="AW35" s="41">
        <f ca="1">IF(AU35="Out", $C35)</f>
        <v>0.16666666666666666</v>
      </c>
      <c r="AX35" s="113">
        <f t="shared" ca="1" si="52"/>
        <v>1.5459770114942533</v>
      </c>
      <c r="AY35" s="42" t="s">
        <v>32</v>
      </c>
      <c r="AZ35" s="84">
        <f t="shared" ca="1" si="53"/>
        <v>1.3793103448275865</v>
      </c>
      <c r="BA35" s="41">
        <f ca="1">IF(AY35="Out", $C35)</f>
        <v>0.16666666666666666</v>
      </c>
      <c r="BB35" s="113">
        <f t="shared" ca="1" si="54"/>
        <v>1.5459770114942533</v>
      </c>
      <c r="BC35" s="42" t="s">
        <v>32</v>
      </c>
      <c r="BD35" s="84">
        <f t="shared" ca="1" si="55"/>
        <v>1.3793103448275865</v>
      </c>
      <c r="BE35" s="41">
        <f ca="1">IF(BC35="Out", $C35)</f>
        <v>0.16666666666666666</v>
      </c>
      <c r="BF35" s="86">
        <f t="shared" ca="1" si="56"/>
        <v>1.5459770114942533</v>
      </c>
      <c r="BG35" s="103" t="s">
        <v>32</v>
      </c>
      <c r="BH35" s="84">
        <f t="shared" ca="1" si="57"/>
        <v>1.3793103448275865</v>
      </c>
      <c r="BI35" s="41">
        <f ca="1">IF(BG35="Out", $C35)</f>
        <v>0.16666666666666666</v>
      </c>
      <c r="BJ35" s="86">
        <f t="shared" ca="1" si="58"/>
        <v>1.5459770114942533</v>
      </c>
      <c r="BK35" s="103" t="s">
        <v>32</v>
      </c>
      <c r="BL35" s="84">
        <f t="shared" ca="1" si="59"/>
        <v>1.3793103448275865</v>
      </c>
      <c r="BM35" s="41">
        <f ca="1">IF(BK35="Out", $C35)</f>
        <v>0.16666666666666666</v>
      </c>
      <c r="BN35" s="86">
        <f t="shared" ca="1" si="60"/>
        <v>1.5459770114942533</v>
      </c>
      <c r="BO35" s="95">
        <f t="shared" ca="1" si="61"/>
        <v>7.7298850574712663</v>
      </c>
      <c r="BP35" s="98" t="s">
        <v>11</v>
      </c>
      <c r="BQ35" s="81">
        <f t="shared" si="62"/>
        <v>0</v>
      </c>
      <c r="BR35" s="1">
        <v>1</v>
      </c>
      <c r="BS35" s="112">
        <f t="shared" si="63"/>
        <v>1</v>
      </c>
      <c r="BT35" s="98" t="s">
        <v>14</v>
      </c>
      <c r="BU35" s="81">
        <f t="shared" si="64"/>
        <v>3</v>
      </c>
      <c r="BV35" s="1">
        <v>0</v>
      </c>
      <c r="BW35" s="112">
        <f t="shared" si="65"/>
        <v>3</v>
      </c>
      <c r="BX35" s="98" t="s">
        <v>12</v>
      </c>
      <c r="BY35" s="81">
        <f t="shared" si="66"/>
        <v>3</v>
      </c>
      <c r="BZ35" s="1">
        <v>0</v>
      </c>
      <c r="CA35" s="112">
        <f t="shared" si="67"/>
        <v>3</v>
      </c>
      <c r="CB35" s="98" t="s">
        <v>15</v>
      </c>
      <c r="CC35" s="81">
        <f t="shared" si="68"/>
        <v>3</v>
      </c>
      <c r="CD35" s="1">
        <v>0</v>
      </c>
      <c r="CE35" s="112">
        <f t="shared" si="69"/>
        <v>3</v>
      </c>
      <c r="CF35" s="98" t="s">
        <v>11</v>
      </c>
      <c r="CG35" s="81">
        <f t="shared" si="70"/>
        <v>3</v>
      </c>
      <c r="CH35" s="1">
        <v>0</v>
      </c>
      <c r="CI35" s="112">
        <f t="shared" si="71"/>
        <v>3</v>
      </c>
      <c r="CJ35" s="152">
        <f t="shared" si="72"/>
        <v>13</v>
      </c>
      <c r="CK35" s="1" t="s">
        <v>15</v>
      </c>
      <c r="CL35" s="81">
        <f t="shared" si="73"/>
        <v>3</v>
      </c>
      <c r="CM35" s="1">
        <v>0</v>
      </c>
      <c r="CN35" s="112">
        <f t="shared" si="74"/>
        <v>3</v>
      </c>
      <c r="CO35" s="1" t="s">
        <v>14</v>
      </c>
      <c r="CP35" s="81">
        <f t="shared" si="75"/>
        <v>0</v>
      </c>
      <c r="CQ35" s="1">
        <v>0</v>
      </c>
      <c r="CR35" s="112">
        <f t="shared" si="76"/>
        <v>0</v>
      </c>
      <c r="CS35" s="1" t="s">
        <v>11</v>
      </c>
      <c r="CT35" s="81">
        <f t="shared" si="77"/>
        <v>1</v>
      </c>
      <c r="CU35" s="1">
        <v>1</v>
      </c>
      <c r="CV35" s="112">
        <f t="shared" si="78"/>
        <v>2</v>
      </c>
      <c r="CW35" s="1" t="s">
        <v>15</v>
      </c>
      <c r="CX35" s="81">
        <f t="shared" si="79"/>
        <v>0</v>
      </c>
      <c r="CY35" s="1">
        <v>0</v>
      </c>
      <c r="CZ35" s="112">
        <f t="shared" si="80"/>
        <v>0</v>
      </c>
      <c r="DA35" s="1" t="s">
        <v>15</v>
      </c>
      <c r="DB35" s="81">
        <f t="shared" si="81"/>
        <v>1</v>
      </c>
      <c r="DC35" s="1">
        <v>0</v>
      </c>
      <c r="DD35" s="112">
        <f t="shared" si="82"/>
        <v>1</v>
      </c>
      <c r="DE35" s="152">
        <f t="shared" si="83"/>
        <v>6</v>
      </c>
      <c r="DF35" s="1" t="s">
        <v>15</v>
      </c>
      <c r="DG35" s="81">
        <f t="shared" si="4"/>
        <v>3</v>
      </c>
      <c r="DH35" s="1">
        <v>0</v>
      </c>
      <c r="DI35" s="112">
        <f t="shared" si="5"/>
        <v>3</v>
      </c>
      <c r="DJ35" s="1" t="s">
        <v>12</v>
      </c>
      <c r="DK35" s="81">
        <f t="shared" si="6"/>
        <v>0</v>
      </c>
      <c r="DL35" s="1">
        <v>0</v>
      </c>
      <c r="DM35" s="112">
        <f t="shared" si="7"/>
        <v>0</v>
      </c>
      <c r="DN35" s="1" t="s">
        <v>11</v>
      </c>
      <c r="DO35" s="81">
        <f t="shared" si="8"/>
        <v>3</v>
      </c>
      <c r="DP35" s="1">
        <v>0</v>
      </c>
      <c r="DQ35" s="112">
        <f t="shared" si="9"/>
        <v>3</v>
      </c>
      <c r="DR35" s="1" t="s">
        <v>14</v>
      </c>
      <c r="DS35" s="81">
        <f t="shared" si="10"/>
        <v>0</v>
      </c>
      <c r="DT35" s="1">
        <v>0</v>
      </c>
      <c r="DU35" s="112">
        <f t="shared" si="11"/>
        <v>0</v>
      </c>
      <c r="DV35" s="1" t="s">
        <v>14</v>
      </c>
      <c r="DW35" s="81">
        <f t="shared" si="12"/>
        <v>3</v>
      </c>
      <c r="DX35" s="1">
        <v>0</v>
      </c>
      <c r="DY35" s="112">
        <f t="shared" si="13"/>
        <v>3</v>
      </c>
      <c r="DZ35" s="152">
        <f t="shared" si="84"/>
        <v>9</v>
      </c>
      <c r="EA35" s="188" t="s">
        <v>12</v>
      </c>
      <c r="EB35" s="189">
        <f t="shared" si="14"/>
        <v>1</v>
      </c>
      <c r="EC35" s="190">
        <v>0</v>
      </c>
      <c r="ED35" s="112">
        <f t="shared" si="15"/>
        <v>1</v>
      </c>
      <c r="EE35" s="190" t="s">
        <v>15</v>
      </c>
      <c r="EF35" s="189">
        <f t="shared" si="16"/>
        <v>3</v>
      </c>
      <c r="EG35" s="190">
        <v>0</v>
      </c>
      <c r="EH35" s="112">
        <f t="shared" si="17"/>
        <v>3</v>
      </c>
      <c r="EI35" s="190" t="s">
        <v>15</v>
      </c>
      <c r="EJ35" s="189">
        <f t="shared" si="18"/>
        <v>3</v>
      </c>
      <c r="EK35" s="190">
        <v>1</v>
      </c>
      <c r="EL35" s="112">
        <f t="shared" si="19"/>
        <v>4</v>
      </c>
      <c r="EM35" s="190" t="s">
        <v>11</v>
      </c>
      <c r="EN35" s="189">
        <f t="shared" si="20"/>
        <v>0</v>
      </c>
      <c r="EO35" s="190">
        <v>0</v>
      </c>
      <c r="EP35" s="112">
        <f t="shared" si="21"/>
        <v>0</v>
      </c>
      <c r="EQ35" s="190" t="s">
        <v>11</v>
      </c>
      <c r="ER35" s="189">
        <f t="shared" si="22"/>
        <v>0</v>
      </c>
      <c r="ES35" s="190">
        <v>1</v>
      </c>
      <c r="ET35" s="112">
        <f t="shared" si="23"/>
        <v>1</v>
      </c>
      <c r="EU35" s="152">
        <f t="shared" si="85"/>
        <v>9</v>
      </c>
      <c r="EV35" s="98" t="s">
        <v>14</v>
      </c>
      <c r="EW35" s="189">
        <f t="shared" si="24"/>
        <v>1</v>
      </c>
      <c r="EX35" s="182">
        <v>0</v>
      </c>
      <c r="EY35" s="112">
        <f t="shared" si="25"/>
        <v>1</v>
      </c>
      <c r="EZ35" s="182" t="s">
        <v>14</v>
      </c>
      <c r="FA35" s="189">
        <f t="shared" si="26"/>
        <v>0</v>
      </c>
      <c r="FB35" s="182">
        <v>0</v>
      </c>
      <c r="FC35" s="112">
        <f t="shared" si="27"/>
        <v>0</v>
      </c>
      <c r="FD35" s="182" t="s">
        <v>12</v>
      </c>
      <c r="FE35" s="189">
        <f t="shared" si="28"/>
        <v>0</v>
      </c>
      <c r="FF35" s="182">
        <v>0</v>
      </c>
      <c r="FG35" s="112">
        <f t="shared" si="29"/>
        <v>0</v>
      </c>
      <c r="FH35" s="182" t="s">
        <v>11</v>
      </c>
      <c r="FI35" s="189">
        <f t="shared" si="30"/>
        <v>0</v>
      </c>
      <c r="FJ35" s="182">
        <v>0</v>
      </c>
      <c r="FK35" s="112">
        <f t="shared" si="31"/>
        <v>0</v>
      </c>
      <c r="FL35" s="152">
        <f t="shared" si="86"/>
        <v>10</v>
      </c>
    </row>
    <row r="36" spans="1:168" x14ac:dyDescent="0.2">
      <c r="A36" s="61" t="s">
        <v>86</v>
      </c>
      <c r="B36" s="62" t="s">
        <v>87</v>
      </c>
      <c r="C36" s="66">
        <f t="shared" ca="1" si="32"/>
        <v>0.37931034482758624</v>
      </c>
      <c r="D36" s="91">
        <f t="shared" ca="1" si="33"/>
        <v>1.3103448275862069</v>
      </c>
      <c r="E36" s="18" t="s">
        <v>14</v>
      </c>
      <c r="F36" s="19">
        <f t="shared" si="0"/>
        <v>3</v>
      </c>
      <c r="G36" s="20">
        <v>0</v>
      </c>
      <c r="H36" s="20">
        <f t="shared" si="34"/>
        <v>3</v>
      </c>
      <c r="I36" s="18" t="s">
        <v>11</v>
      </c>
      <c r="J36" s="19">
        <f t="shared" si="1"/>
        <v>0</v>
      </c>
      <c r="K36" s="90">
        <v>0</v>
      </c>
      <c r="L36" s="20">
        <f t="shared" si="35"/>
        <v>0</v>
      </c>
      <c r="M36" s="18" t="s">
        <v>14</v>
      </c>
      <c r="N36" s="19">
        <f t="shared" si="2"/>
        <v>3</v>
      </c>
      <c r="O36" s="20">
        <v>0</v>
      </c>
      <c r="P36" s="20">
        <f t="shared" si="36"/>
        <v>3</v>
      </c>
      <c r="Q36" s="18" t="s">
        <v>11</v>
      </c>
      <c r="R36" s="19">
        <f t="shared" si="3"/>
        <v>0</v>
      </c>
      <c r="S36" s="20">
        <v>1</v>
      </c>
      <c r="T36" s="20">
        <f t="shared" si="37"/>
        <v>1</v>
      </c>
      <c r="U36" s="18" t="s">
        <v>12</v>
      </c>
      <c r="V36" s="19">
        <f t="shared" si="38"/>
        <v>0</v>
      </c>
      <c r="W36" s="20">
        <v>0</v>
      </c>
      <c r="X36" s="20">
        <f t="shared" si="39"/>
        <v>0</v>
      </c>
      <c r="Y36" s="96">
        <f t="shared" si="40"/>
        <v>7</v>
      </c>
      <c r="Z36" s="29" t="s">
        <v>15</v>
      </c>
      <c r="AA36" s="88">
        <f t="shared" si="88"/>
        <v>3</v>
      </c>
      <c r="AB36" s="89">
        <v>0</v>
      </c>
      <c r="AC36" s="90">
        <f t="shared" si="41"/>
        <v>3</v>
      </c>
      <c r="AD36" s="29" t="s">
        <v>15</v>
      </c>
      <c r="AE36" s="72">
        <f t="shared" si="42"/>
        <v>3</v>
      </c>
      <c r="AF36" s="30">
        <v>1</v>
      </c>
      <c r="AG36" s="20">
        <f t="shared" si="43"/>
        <v>4</v>
      </c>
      <c r="AH36" s="29" t="s">
        <v>14</v>
      </c>
      <c r="AI36" s="19">
        <f t="shared" si="44"/>
        <v>0</v>
      </c>
      <c r="AJ36" s="30">
        <v>1</v>
      </c>
      <c r="AK36" s="21">
        <f t="shared" si="45"/>
        <v>1</v>
      </c>
      <c r="AL36" s="30" t="s">
        <v>14</v>
      </c>
      <c r="AM36" s="19">
        <f t="shared" si="46"/>
        <v>1</v>
      </c>
      <c r="AN36" s="30">
        <v>0</v>
      </c>
      <c r="AO36" s="20">
        <f t="shared" si="47"/>
        <v>1</v>
      </c>
      <c r="AP36" s="29" t="s">
        <v>14</v>
      </c>
      <c r="AQ36" s="19">
        <f t="shared" si="48"/>
        <v>3</v>
      </c>
      <c r="AR36" s="30">
        <v>1</v>
      </c>
      <c r="AS36" s="20">
        <f t="shared" si="49"/>
        <v>4</v>
      </c>
      <c r="AT36" s="96">
        <f t="shared" si="50"/>
        <v>13</v>
      </c>
      <c r="AU36" s="104" t="s">
        <v>32</v>
      </c>
      <c r="AV36" s="106">
        <f t="shared" ca="1" si="51"/>
        <v>1.3103448275862069</v>
      </c>
      <c r="AW36" s="107">
        <f ca="1">IF(AU36="Out", $C36)</f>
        <v>0.37931034482758624</v>
      </c>
      <c r="AX36" s="114">
        <f t="shared" ca="1" si="52"/>
        <v>1.6896551724137931</v>
      </c>
      <c r="AY36" s="105" t="s">
        <v>32</v>
      </c>
      <c r="AZ36" s="106">
        <f t="shared" ca="1" si="53"/>
        <v>1.3103448275862069</v>
      </c>
      <c r="BA36" s="107">
        <f ca="1">IF(AY36="Out", $C36)</f>
        <v>0.37931034482758624</v>
      </c>
      <c r="BB36" s="114">
        <f t="shared" ca="1" si="54"/>
        <v>1.6896551724137931</v>
      </c>
      <c r="BC36" s="105" t="s">
        <v>32</v>
      </c>
      <c r="BD36" s="106">
        <f t="shared" ca="1" si="55"/>
        <v>1.3103448275862069</v>
      </c>
      <c r="BE36" s="107">
        <f ca="1">IF(BC36="Out", $C36)</f>
        <v>0.37931034482758624</v>
      </c>
      <c r="BF36" s="108">
        <f t="shared" ca="1" si="56"/>
        <v>1.6896551724137931</v>
      </c>
      <c r="BG36" s="104" t="s">
        <v>32</v>
      </c>
      <c r="BH36" s="106">
        <f t="shared" ca="1" si="57"/>
        <v>1.3103448275862069</v>
      </c>
      <c r="BI36" s="107">
        <f ca="1">IF(BG36="Out", $C36)</f>
        <v>0.37931034482758624</v>
      </c>
      <c r="BJ36" s="108">
        <f t="shared" ca="1" si="58"/>
        <v>1.6896551724137931</v>
      </c>
      <c r="BK36" s="104" t="s">
        <v>32</v>
      </c>
      <c r="BL36" s="106">
        <f t="shared" ca="1" si="59"/>
        <v>1.3103448275862069</v>
      </c>
      <c r="BM36" s="107">
        <f ca="1">IF(BK36="Out", $C36)</f>
        <v>0.37931034482758624</v>
      </c>
      <c r="BN36" s="109">
        <f t="shared" ca="1" si="60"/>
        <v>1.6896551724137931</v>
      </c>
      <c r="BO36" s="96">
        <f t="shared" ca="1" si="61"/>
        <v>8.4482758620689662</v>
      </c>
      <c r="BP36" s="104" t="s">
        <v>32</v>
      </c>
      <c r="BQ36" s="106">
        <f t="shared" ca="1" si="62"/>
        <v>1.3103448275862069</v>
      </c>
      <c r="BR36" s="107">
        <f ca="1">IF(BP36="Out", $C36)</f>
        <v>0.37931034482758624</v>
      </c>
      <c r="BS36" s="114">
        <f t="shared" ca="1" si="63"/>
        <v>1.6896551724137931</v>
      </c>
      <c r="BT36" s="104" t="s">
        <v>32</v>
      </c>
      <c r="BU36" s="106">
        <f t="shared" ca="1" si="64"/>
        <v>1.3103448275862069</v>
      </c>
      <c r="BV36" s="107">
        <f ca="1">IF(BT36="Out", $C36)</f>
        <v>0.37931034482758624</v>
      </c>
      <c r="BW36" s="114">
        <f t="shared" ca="1" si="65"/>
        <v>1.6896551724137931</v>
      </c>
      <c r="BX36" s="104" t="s">
        <v>32</v>
      </c>
      <c r="BY36" s="106">
        <f t="shared" ca="1" si="66"/>
        <v>1.3103448275862069</v>
      </c>
      <c r="BZ36" s="107">
        <f ca="1">IF(BX36="Out", $C36)</f>
        <v>0.37931034482758624</v>
      </c>
      <c r="CA36" s="114">
        <f t="shared" ca="1" si="67"/>
        <v>1.6896551724137931</v>
      </c>
      <c r="CB36" s="104" t="s">
        <v>32</v>
      </c>
      <c r="CC36" s="106">
        <f t="shared" ca="1" si="68"/>
        <v>1.3103448275862069</v>
      </c>
      <c r="CD36" s="107">
        <f ca="1">IF(CB36="Out", $C36)</f>
        <v>0.37931034482758624</v>
      </c>
      <c r="CE36" s="114">
        <f t="shared" ca="1" si="69"/>
        <v>1.6896551724137931</v>
      </c>
      <c r="CF36" s="104" t="s">
        <v>32</v>
      </c>
      <c r="CG36" s="106">
        <f t="shared" ca="1" si="70"/>
        <v>1.3103448275862069</v>
      </c>
      <c r="CH36" s="107">
        <f ca="1">IF(CF36="Out", $C36)</f>
        <v>0.37931034482758624</v>
      </c>
      <c r="CI36" s="114">
        <f t="shared" ca="1" si="71"/>
        <v>1.6896551724137931</v>
      </c>
      <c r="CJ36" s="153">
        <f t="shared" ca="1" si="72"/>
        <v>8.4482758620689662</v>
      </c>
      <c r="CK36" s="99" t="s">
        <v>11</v>
      </c>
      <c r="CL36" s="168">
        <f t="shared" si="73"/>
        <v>0</v>
      </c>
      <c r="CM36" s="100">
        <v>1</v>
      </c>
      <c r="CN36" s="143">
        <f t="shared" si="74"/>
        <v>1</v>
      </c>
      <c r="CO36" s="100" t="s">
        <v>11</v>
      </c>
      <c r="CP36" s="168">
        <f t="shared" si="75"/>
        <v>0</v>
      </c>
      <c r="CQ36" s="100">
        <v>0</v>
      </c>
      <c r="CR36" s="143">
        <f t="shared" si="76"/>
        <v>0</v>
      </c>
      <c r="CS36" s="100" t="s">
        <v>14</v>
      </c>
      <c r="CT36" s="168">
        <f t="shared" si="77"/>
        <v>0</v>
      </c>
      <c r="CU36" s="100">
        <v>0</v>
      </c>
      <c r="CV36" s="143">
        <f t="shared" si="78"/>
        <v>0</v>
      </c>
      <c r="CW36" s="100" t="s">
        <v>14</v>
      </c>
      <c r="CX36" s="168">
        <f t="shared" si="79"/>
        <v>3</v>
      </c>
      <c r="CY36" s="100">
        <v>0</v>
      </c>
      <c r="CZ36" s="143">
        <f t="shared" si="80"/>
        <v>3</v>
      </c>
      <c r="DA36" s="100" t="s">
        <v>12</v>
      </c>
      <c r="DB36" s="168">
        <f t="shared" si="81"/>
        <v>0</v>
      </c>
      <c r="DC36" s="100">
        <v>0</v>
      </c>
      <c r="DD36" s="143">
        <f t="shared" si="82"/>
        <v>0</v>
      </c>
      <c r="DE36" s="153">
        <f t="shared" si="83"/>
        <v>4</v>
      </c>
      <c r="DF36" s="99" t="s">
        <v>14</v>
      </c>
      <c r="DG36" s="168">
        <f t="shared" si="4"/>
        <v>0</v>
      </c>
      <c r="DH36" s="100">
        <v>0</v>
      </c>
      <c r="DI36" s="143">
        <f t="shared" si="5"/>
        <v>0</v>
      </c>
      <c r="DJ36" s="100" t="s">
        <v>11</v>
      </c>
      <c r="DK36" s="168">
        <f t="shared" si="6"/>
        <v>3</v>
      </c>
      <c r="DL36" s="100">
        <v>1</v>
      </c>
      <c r="DM36" s="143">
        <f t="shared" si="7"/>
        <v>4</v>
      </c>
      <c r="DN36" s="100" t="s">
        <v>14</v>
      </c>
      <c r="DO36" s="168">
        <f t="shared" si="8"/>
        <v>3</v>
      </c>
      <c r="DP36" s="100">
        <v>1</v>
      </c>
      <c r="DQ36" s="143">
        <f t="shared" si="9"/>
        <v>4</v>
      </c>
      <c r="DR36" s="100" t="s">
        <v>12</v>
      </c>
      <c r="DS36" s="168">
        <f t="shared" si="10"/>
        <v>0</v>
      </c>
      <c r="DT36" s="100">
        <v>0</v>
      </c>
      <c r="DU36" s="143">
        <f t="shared" si="11"/>
        <v>0</v>
      </c>
      <c r="DV36" s="100" t="s">
        <v>15</v>
      </c>
      <c r="DW36" s="168">
        <f t="shared" si="12"/>
        <v>0</v>
      </c>
      <c r="DX36" s="100">
        <v>1</v>
      </c>
      <c r="DY36" s="143">
        <f t="shared" si="13"/>
        <v>1</v>
      </c>
      <c r="DZ36" s="153">
        <f t="shared" si="84"/>
        <v>9</v>
      </c>
      <c r="EA36" s="191" t="s">
        <v>12</v>
      </c>
      <c r="EB36" s="192">
        <f t="shared" si="14"/>
        <v>1</v>
      </c>
      <c r="EC36" s="193">
        <v>1</v>
      </c>
      <c r="ED36" s="143">
        <f t="shared" si="15"/>
        <v>2</v>
      </c>
      <c r="EE36" s="193" t="s">
        <v>14</v>
      </c>
      <c r="EF36" s="192">
        <f t="shared" si="16"/>
        <v>0</v>
      </c>
      <c r="EG36" s="193">
        <v>0</v>
      </c>
      <c r="EH36" s="143">
        <f t="shared" si="17"/>
        <v>0</v>
      </c>
      <c r="EI36" s="193" t="s">
        <v>11</v>
      </c>
      <c r="EJ36" s="192">
        <f t="shared" si="18"/>
        <v>3</v>
      </c>
      <c r="EK36" s="193">
        <v>0</v>
      </c>
      <c r="EL36" s="143">
        <f t="shared" si="19"/>
        <v>3</v>
      </c>
      <c r="EM36" s="193" t="s">
        <v>11</v>
      </c>
      <c r="EN36" s="192">
        <f t="shared" si="20"/>
        <v>0</v>
      </c>
      <c r="EO36" s="193">
        <v>0</v>
      </c>
      <c r="EP36" s="143">
        <f t="shared" si="21"/>
        <v>0</v>
      </c>
      <c r="EQ36" s="193" t="s">
        <v>11</v>
      </c>
      <c r="ER36" s="192">
        <f t="shared" si="22"/>
        <v>0</v>
      </c>
      <c r="ES36" s="193">
        <v>0</v>
      </c>
      <c r="ET36" s="143">
        <f t="shared" si="23"/>
        <v>0</v>
      </c>
      <c r="EU36" s="153">
        <f t="shared" si="85"/>
        <v>5</v>
      </c>
      <c r="EV36" s="99" t="s">
        <v>12</v>
      </c>
      <c r="EW36" s="192">
        <f t="shared" si="24"/>
        <v>3</v>
      </c>
      <c r="EX36" s="100">
        <v>2</v>
      </c>
      <c r="EY36" s="143">
        <f t="shared" si="25"/>
        <v>5</v>
      </c>
      <c r="EZ36" s="100" t="s">
        <v>12</v>
      </c>
      <c r="FA36" s="192">
        <f t="shared" si="26"/>
        <v>0</v>
      </c>
      <c r="FB36" s="100">
        <v>0</v>
      </c>
      <c r="FC36" s="143">
        <f t="shared" si="27"/>
        <v>0</v>
      </c>
      <c r="FD36" s="100" t="s">
        <v>11</v>
      </c>
      <c r="FE36" s="192">
        <f t="shared" si="28"/>
        <v>3</v>
      </c>
      <c r="FF36" s="100">
        <v>0</v>
      </c>
      <c r="FG36" s="143">
        <f t="shared" si="29"/>
        <v>3</v>
      </c>
      <c r="FH36" s="100" t="s">
        <v>12</v>
      </c>
      <c r="FI36" s="192">
        <f t="shared" si="30"/>
        <v>3</v>
      </c>
      <c r="FJ36" s="100">
        <v>0</v>
      </c>
      <c r="FK36" s="143">
        <f t="shared" si="31"/>
        <v>3</v>
      </c>
      <c r="FL36" s="153">
        <f t="shared" si="86"/>
        <v>16</v>
      </c>
    </row>
    <row r="40" spans="1:168" x14ac:dyDescent="0.2">
      <c r="A40" s="180"/>
      <c r="B40" s="180"/>
      <c r="C40" s="180"/>
      <c r="D40" s="180"/>
      <c r="E40" s="180"/>
      <c r="M40" s="119"/>
    </row>
    <row r="41" spans="1:168" x14ac:dyDescent="0.2">
      <c r="M41" s="120"/>
      <c r="AG41" s="27"/>
    </row>
    <row r="42" spans="1:168" x14ac:dyDescent="0.2">
      <c r="M42" s="120"/>
      <c r="N42" s="120"/>
    </row>
    <row r="43" spans="1:168" x14ac:dyDescent="0.2">
      <c r="N43" s="120"/>
    </row>
    <row r="44" spans="1:168" x14ac:dyDescent="0.2">
      <c r="N44" s="120"/>
    </row>
  </sheetData>
  <autoFilter ref="A7:Y36" xr:uid="{87DA5811-99D6-498C-9666-CDD6BB0B3B01}"/>
  <sortState xmlns:xlrd2="http://schemas.microsoft.com/office/spreadsheetml/2017/richdata2" ref="A8:AA36">
    <sortCondition ref="A8:A36"/>
  </sortState>
  <mergeCells count="40">
    <mergeCell ref="EV1:EY1"/>
    <mergeCell ref="EZ1:FC1"/>
    <mergeCell ref="FD1:FG1"/>
    <mergeCell ref="FH1:FK1"/>
    <mergeCell ref="EA1:ED1"/>
    <mergeCell ref="EE1:EH1"/>
    <mergeCell ref="EI1:EL1"/>
    <mergeCell ref="EM1:EP1"/>
    <mergeCell ref="EQ1:ET1"/>
    <mergeCell ref="DF1:DI1"/>
    <mergeCell ref="DJ1:DM1"/>
    <mergeCell ref="DN1:DQ1"/>
    <mergeCell ref="DR1:DU1"/>
    <mergeCell ref="DV1:DY1"/>
    <mergeCell ref="CK1:CN1"/>
    <mergeCell ref="CO1:CR1"/>
    <mergeCell ref="CS1:CV1"/>
    <mergeCell ref="CW1:CZ1"/>
    <mergeCell ref="DA1:DD1"/>
    <mergeCell ref="BP1:BS1"/>
    <mergeCell ref="BT1:BW1"/>
    <mergeCell ref="BX1:CA1"/>
    <mergeCell ref="CB1:CE1"/>
    <mergeCell ref="CF1:CI1"/>
    <mergeCell ref="AU1:AX1"/>
    <mergeCell ref="AY1:BB1"/>
    <mergeCell ref="BC1:BF1"/>
    <mergeCell ref="BG1:BJ1"/>
    <mergeCell ref="BK1:BN1"/>
    <mergeCell ref="A40:E40"/>
    <mergeCell ref="U1:X1"/>
    <mergeCell ref="E1:H1"/>
    <mergeCell ref="I1:L1"/>
    <mergeCell ref="M1:P1"/>
    <mergeCell ref="Q1:T1"/>
    <mergeCell ref="AL1:AO1"/>
    <mergeCell ref="AP1:AS1"/>
    <mergeCell ref="Z1:AC1"/>
    <mergeCell ref="AD1:AG1"/>
    <mergeCell ref="AH1:AK1"/>
  </mergeCells>
  <phoneticPr fontId="18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BAA7-EA72-4E13-91C9-FA09740D57B4}">
  <sheetPr>
    <pageSetUpPr fitToPage="1"/>
  </sheetPr>
  <dimension ref="A1:K30"/>
  <sheetViews>
    <sheetView workbookViewId="0">
      <selection activeCell="M10" sqref="M10"/>
    </sheetView>
  </sheetViews>
  <sheetFormatPr baseColWidth="10" defaultColWidth="8.83203125" defaultRowHeight="15" x14ac:dyDescent="0.2"/>
  <cols>
    <col min="1" max="1" width="10.5" style="15" bestFit="1" customWidth="1"/>
    <col min="2" max="2" width="10.33203125" style="1" bestFit="1" customWidth="1"/>
    <col min="3" max="10" width="9.1640625" style="1"/>
    <col min="11" max="11" width="9.1640625" style="229"/>
  </cols>
  <sheetData>
    <row r="1" spans="1:11" s="2" customFormat="1" x14ac:dyDescent="0.2">
      <c r="A1" s="6" t="s">
        <v>23</v>
      </c>
      <c r="B1" s="24" t="s">
        <v>24</v>
      </c>
      <c r="C1" s="26" t="s">
        <v>18</v>
      </c>
      <c r="D1" s="26" t="s">
        <v>19</v>
      </c>
      <c r="E1" s="26" t="s">
        <v>20</v>
      </c>
      <c r="F1" s="26" t="s">
        <v>21</v>
      </c>
      <c r="G1" s="26" t="s">
        <v>22</v>
      </c>
      <c r="H1" s="26" t="s">
        <v>88</v>
      </c>
      <c r="I1" s="6" t="s">
        <v>89</v>
      </c>
      <c r="J1" s="26" t="s">
        <v>90</v>
      </c>
      <c r="K1" s="226" t="s">
        <v>28</v>
      </c>
    </row>
    <row r="2" spans="1:11" x14ac:dyDescent="0.2">
      <c r="A2" s="1" t="s">
        <v>35</v>
      </c>
      <c r="B2" s="1" t="s">
        <v>36</v>
      </c>
      <c r="C2" s="76">
        <f>'Field Players'!Y10</f>
        <v>20</v>
      </c>
      <c r="D2" s="77">
        <f>'Field Players'!AT10</f>
        <v>25</v>
      </c>
      <c r="E2" s="145">
        <f>'Field Players'!BO10</f>
        <v>12</v>
      </c>
      <c r="F2" s="145">
        <f>'Field Players'!CJ10</f>
        <v>23</v>
      </c>
      <c r="G2" s="77">
        <f ca="1">'Field Players'!DE10</f>
        <v>19.852941176470587</v>
      </c>
      <c r="H2" s="76">
        <f>'Field Players'!DZ10</f>
        <v>25</v>
      </c>
      <c r="I2" s="78">
        <f>'Field Players'!EU10</f>
        <v>20</v>
      </c>
      <c r="J2" s="77">
        <f>'Field Players'!FL10</f>
        <v>30</v>
      </c>
      <c r="K2" s="227">
        <f ca="1">SUM(C2:J2)</f>
        <v>174.85294117647058</v>
      </c>
    </row>
    <row r="3" spans="1:11" x14ac:dyDescent="0.2">
      <c r="A3" s="1" t="s">
        <v>62</v>
      </c>
      <c r="B3" s="1" t="s">
        <v>63</v>
      </c>
      <c r="C3" s="79">
        <f>'Field Players'!Y24</f>
        <v>18</v>
      </c>
      <c r="D3" s="78">
        <f>'Field Players'!AT24</f>
        <v>18</v>
      </c>
      <c r="E3" s="146">
        <f>'Field Players'!BO24</f>
        <v>11</v>
      </c>
      <c r="F3" s="78">
        <f>'Field Players'!CJ24</f>
        <v>14</v>
      </c>
      <c r="G3" s="80">
        <f>'Field Players'!DE24</f>
        <v>15</v>
      </c>
      <c r="H3" s="79">
        <f>'Field Players'!DZ24</f>
        <v>19</v>
      </c>
      <c r="I3" s="78">
        <f>'Field Players'!EU24</f>
        <v>13</v>
      </c>
      <c r="J3" s="80">
        <f>'Field Players'!FL24</f>
        <v>28</v>
      </c>
      <c r="K3" s="228">
        <f>SUM(C3:J3)</f>
        <v>136</v>
      </c>
    </row>
    <row r="4" spans="1:11" x14ac:dyDescent="0.2">
      <c r="A4" s="1" t="s">
        <v>39</v>
      </c>
      <c r="B4" s="1" t="s">
        <v>40</v>
      </c>
      <c r="C4" s="79">
        <f>'Field Players'!Y12</f>
        <v>9</v>
      </c>
      <c r="D4" s="78">
        <f>'Field Players'!AT12</f>
        <v>11</v>
      </c>
      <c r="E4" s="146">
        <f>'Field Players'!BO12</f>
        <v>18</v>
      </c>
      <c r="F4" s="78">
        <f>'Field Players'!CJ12</f>
        <v>21</v>
      </c>
      <c r="G4" s="80">
        <f>'Field Players'!DE12</f>
        <v>21</v>
      </c>
      <c r="H4" s="79">
        <f>'Field Players'!DZ12</f>
        <v>5</v>
      </c>
      <c r="I4" s="78">
        <f ca="1">'Field Players'!EU12</f>
        <v>13.983870967741936</v>
      </c>
      <c r="J4" s="80">
        <f ca="1">'Field Players'!FL12</f>
        <v>24.074193548387097</v>
      </c>
      <c r="K4" s="228">
        <f ca="1">SUM(C4:J4)</f>
        <v>123.05806451612904</v>
      </c>
    </row>
    <row r="5" spans="1:11" x14ac:dyDescent="0.2">
      <c r="A5" s="1" t="s">
        <v>66</v>
      </c>
      <c r="B5" s="1" t="s">
        <v>67</v>
      </c>
      <c r="C5" s="79">
        <f>'Field Players'!Y26</f>
        <v>11</v>
      </c>
      <c r="D5" s="78">
        <f>'Field Players'!AT26</f>
        <v>14</v>
      </c>
      <c r="E5" s="146">
        <f>'Field Players'!BO26</f>
        <v>21</v>
      </c>
      <c r="F5" s="78">
        <f>'Field Players'!CJ26</f>
        <v>14</v>
      </c>
      <c r="G5" s="80">
        <f ca="1">'Field Players'!DE26</f>
        <v>13.33333333333333</v>
      </c>
      <c r="H5" s="79">
        <f>'Field Players'!DZ26</f>
        <v>6</v>
      </c>
      <c r="I5" s="78">
        <f>'Field Players'!EU26</f>
        <v>14</v>
      </c>
      <c r="J5" s="80">
        <f ca="1">'Field Players'!FL26</f>
        <v>24.666666666666657</v>
      </c>
      <c r="K5" s="228">
        <f ca="1">SUM(C5:J5)</f>
        <v>117.99999999999999</v>
      </c>
    </row>
    <row r="6" spans="1:11" x14ac:dyDescent="0.2">
      <c r="A6" s="1" t="s">
        <v>78</v>
      </c>
      <c r="B6" s="1" t="s">
        <v>79</v>
      </c>
      <c r="C6" s="79">
        <f>'Field Players'!Y32</f>
        <v>7</v>
      </c>
      <c r="D6" s="78">
        <f ca="1">'Field Players'!AT32</f>
        <v>8.8181818181818201</v>
      </c>
      <c r="E6" s="146">
        <f ca="1">'Field Players'!BO32</f>
        <v>15.606060606060606</v>
      </c>
      <c r="F6" s="78">
        <f>'Field Players'!CJ32</f>
        <v>15</v>
      </c>
      <c r="G6" s="80">
        <f>'Field Players'!DE32</f>
        <v>22</v>
      </c>
      <c r="H6" s="79">
        <f>'Field Players'!DZ32</f>
        <v>8</v>
      </c>
      <c r="I6" s="78">
        <f ca="1">'Field Players'!EU32</f>
        <v>16.212121212121211</v>
      </c>
      <c r="J6" s="80">
        <f ca="1">'Field Players'!FL32</f>
        <v>25.212121212121211</v>
      </c>
      <c r="K6" s="228">
        <f ca="1">SUM(C6:J6)</f>
        <v>117.84848484848484</v>
      </c>
    </row>
    <row r="7" spans="1:11" x14ac:dyDescent="0.2">
      <c r="A7" s="1" t="s">
        <v>51</v>
      </c>
      <c r="B7" s="1" t="s">
        <v>50</v>
      </c>
      <c r="C7" s="79">
        <f>'Field Players'!Y18</f>
        <v>23</v>
      </c>
      <c r="D7" s="78">
        <f>'Field Players'!AT18</f>
        <v>10</v>
      </c>
      <c r="E7" s="146">
        <f>'Field Players'!BO18</f>
        <v>19</v>
      </c>
      <c r="F7" s="78">
        <f ca="1">'Field Players'!CJ18</f>
        <v>14.400000000000004</v>
      </c>
      <c r="G7" s="80">
        <f ca="1">'Field Players'!DE18</f>
        <v>14.400000000000004</v>
      </c>
      <c r="H7" s="79">
        <f>'Field Players'!DZ18</f>
        <v>15</v>
      </c>
      <c r="I7" s="78">
        <f>'Field Players'!EU18</f>
        <v>5</v>
      </c>
      <c r="J7" s="80">
        <f ca="1">'Field Players'!FL18</f>
        <v>16.520000000000003</v>
      </c>
      <c r="K7" s="228">
        <f ca="1">SUM(C7:J7)</f>
        <v>117.32000000000002</v>
      </c>
    </row>
    <row r="8" spans="1:11" x14ac:dyDescent="0.2">
      <c r="A8" s="1" t="s">
        <v>60</v>
      </c>
      <c r="B8" s="1" t="s">
        <v>61</v>
      </c>
      <c r="C8" s="79">
        <f>'Field Players'!Y23</f>
        <v>12</v>
      </c>
      <c r="D8" s="78">
        <f>'Field Players'!AT23</f>
        <v>6</v>
      </c>
      <c r="E8" s="146">
        <f>'Field Players'!BO23</f>
        <v>9</v>
      </c>
      <c r="F8" s="78">
        <f>'Field Players'!CJ23</f>
        <v>12</v>
      </c>
      <c r="G8" s="80">
        <f>'Field Players'!DE23</f>
        <v>13</v>
      </c>
      <c r="H8" s="79">
        <f>'Field Players'!DZ23</f>
        <v>18</v>
      </c>
      <c r="I8" s="78">
        <f ca="1">'Field Players'!EU23</f>
        <v>11.517647058823529</v>
      </c>
      <c r="J8" s="80">
        <f ca="1">'Field Players'!FL23</f>
        <v>24.517647058823528</v>
      </c>
      <c r="K8" s="228">
        <f ca="1">SUM(C8:J8)</f>
        <v>106.03529411764706</v>
      </c>
    </row>
    <row r="9" spans="1:11" x14ac:dyDescent="0.2">
      <c r="A9" s="1" t="s">
        <v>82</v>
      </c>
      <c r="B9" s="1" t="s">
        <v>83</v>
      </c>
      <c r="C9" s="79">
        <f>'Field Players'!Y34</f>
        <v>2</v>
      </c>
      <c r="D9" s="78">
        <f>'Field Players'!AT34</f>
        <v>4</v>
      </c>
      <c r="E9" s="146">
        <f>'Field Players'!BO34</f>
        <v>16</v>
      </c>
      <c r="F9" s="78">
        <f>'Field Players'!CJ34</f>
        <v>10</v>
      </c>
      <c r="G9" s="80">
        <f>'Field Players'!DE34</f>
        <v>13</v>
      </c>
      <c r="H9" s="79">
        <f>'Field Players'!DZ34</f>
        <v>9</v>
      </c>
      <c r="I9" s="78">
        <f>'Field Players'!EU34</f>
        <v>15</v>
      </c>
      <c r="J9" s="80">
        <f>'Field Players'!FL34</f>
        <v>33</v>
      </c>
      <c r="K9" s="228">
        <f>SUM(C9:J9)</f>
        <v>102</v>
      </c>
    </row>
    <row r="10" spans="1:11" x14ac:dyDescent="0.2">
      <c r="A10" s="1" t="s">
        <v>74</v>
      </c>
      <c r="B10" s="1" t="s">
        <v>75</v>
      </c>
      <c r="C10" s="79">
        <f>'Field Players'!Y30</f>
        <v>14</v>
      </c>
      <c r="D10" s="78">
        <f>'Field Players'!AT30</f>
        <v>16</v>
      </c>
      <c r="E10" s="146">
        <f>'Field Players'!BO30</f>
        <v>10</v>
      </c>
      <c r="F10" s="78">
        <f>'Field Players'!CJ30</f>
        <v>5</v>
      </c>
      <c r="G10" s="80">
        <f>'Field Players'!DE30</f>
        <v>12</v>
      </c>
      <c r="H10" s="79">
        <f>'Field Players'!DZ30</f>
        <v>12</v>
      </c>
      <c r="I10" s="78">
        <f>'Field Players'!EU30</f>
        <v>13</v>
      </c>
      <c r="J10" s="80">
        <f>'Field Players'!FL30</f>
        <v>19</v>
      </c>
      <c r="K10" s="228">
        <f>SUM(C10:J10)</f>
        <v>101</v>
      </c>
    </row>
    <row r="11" spans="1:11" x14ac:dyDescent="0.2">
      <c r="A11" s="1" t="s">
        <v>70</v>
      </c>
      <c r="B11" s="1" t="s">
        <v>71</v>
      </c>
      <c r="C11" s="79">
        <f>'Field Players'!Y28</f>
        <v>10</v>
      </c>
      <c r="D11" s="78">
        <f>'Field Players'!AT28</f>
        <v>14</v>
      </c>
      <c r="E11" s="146">
        <f>'Field Players'!BO28</f>
        <v>4</v>
      </c>
      <c r="F11" s="78">
        <f>'Field Players'!CJ28</f>
        <v>10</v>
      </c>
      <c r="G11" s="80">
        <f>'Field Players'!DE28</f>
        <v>16</v>
      </c>
      <c r="H11" s="79">
        <f>'Field Players'!DZ28</f>
        <v>12</v>
      </c>
      <c r="I11" s="78">
        <f>'Field Players'!EU28</f>
        <v>12</v>
      </c>
      <c r="J11" s="80">
        <f>'Field Players'!FL28</f>
        <v>19</v>
      </c>
      <c r="K11" s="228">
        <f>SUM(C11:J11)</f>
        <v>97</v>
      </c>
    </row>
    <row r="12" spans="1:11" x14ac:dyDescent="0.2">
      <c r="A12" s="1" t="s">
        <v>64</v>
      </c>
      <c r="B12" s="1" t="s">
        <v>65</v>
      </c>
      <c r="C12" s="79">
        <f>'Field Players'!Y25</f>
        <v>9</v>
      </c>
      <c r="D12" s="78">
        <f>'Field Players'!AT25</f>
        <v>21</v>
      </c>
      <c r="E12" s="146">
        <f ca="1">'Field Players'!BO25</f>
        <v>10.517241379310342</v>
      </c>
      <c r="F12" s="78">
        <f>'Field Players'!CJ25</f>
        <v>19</v>
      </c>
      <c r="G12" s="80">
        <f>'Field Players'!DE25</f>
        <v>4</v>
      </c>
      <c r="H12" s="79">
        <f>'Field Players'!DZ25</f>
        <v>6</v>
      </c>
      <c r="I12" s="78">
        <f ca="1">'Field Players'!EU25</f>
        <v>10.517241379310342</v>
      </c>
      <c r="J12" s="80">
        <f ca="1">'Field Players'!FL25</f>
        <v>12.517241379310342</v>
      </c>
      <c r="K12" s="228">
        <f ca="1">SUM(C12:J12)</f>
        <v>92.551724137931046</v>
      </c>
    </row>
    <row r="13" spans="1:11" x14ac:dyDescent="0.2">
      <c r="A13" s="1" t="s">
        <v>49</v>
      </c>
      <c r="B13" s="1" t="s">
        <v>50</v>
      </c>
      <c r="C13" s="79">
        <f>'Field Players'!Y17</f>
        <v>12</v>
      </c>
      <c r="D13" s="78">
        <f>'Field Players'!AT17</f>
        <v>3</v>
      </c>
      <c r="E13" s="146">
        <f>'Field Players'!BO17</f>
        <v>12</v>
      </c>
      <c r="F13" s="78">
        <f>'Field Players'!CJ17</f>
        <v>11</v>
      </c>
      <c r="G13" s="80">
        <f>'Field Players'!DE17</f>
        <v>2</v>
      </c>
      <c r="H13" s="79">
        <f>'Field Players'!DZ17</f>
        <v>13</v>
      </c>
      <c r="I13" s="78">
        <f>'Field Players'!EU17</f>
        <v>13</v>
      </c>
      <c r="J13" s="80">
        <f>'Field Players'!FL17</f>
        <v>25</v>
      </c>
      <c r="K13" s="228">
        <f>SUM(C13:J13)</f>
        <v>91</v>
      </c>
    </row>
    <row r="14" spans="1:11" x14ac:dyDescent="0.2">
      <c r="A14" s="1" t="s">
        <v>68</v>
      </c>
      <c r="B14" s="1" t="s">
        <v>69</v>
      </c>
      <c r="C14" s="79">
        <f>'Field Players'!Y27</f>
        <v>9</v>
      </c>
      <c r="D14" s="78">
        <f>'Field Players'!AT27</f>
        <v>8</v>
      </c>
      <c r="E14" s="146">
        <f>'Field Players'!BO27</f>
        <v>8</v>
      </c>
      <c r="F14" s="78">
        <f>'Field Players'!CJ27</f>
        <v>10</v>
      </c>
      <c r="G14" s="80">
        <f>'Field Players'!DE27</f>
        <v>10</v>
      </c>
      <c r="H14" s="79">
        <f>'Field Players'!DZ27</f>
        <v>16</v>
      </c>
      <c r="I14" s="78">
        <f>'Field Players'!EU27</f>
        <v>9</v>
      </c>
      <c r="J14" s="80">
        <f>'Field Players'!FL27</f>
        <v>18</v>
      </c>
      <c r="K14" s="228">
        <f>SUM(C14:J14)</f>
        <v>88</v>
      </c>
    </row>
    <row r="15" spans="1:11" x14ac:dyDescent="0.2">
      <c r="A15" s="1" t="s">
        <v>41</v>
      </c>
      <c r="B15" s="1" t="s">
        <v>42</v>
      </c>
      <c r="C15" s="79">
        <f>'Field Players'!Y13</f>
        <v>15</v>
      </c>
      <c r="D15" s="78">
        <f>'Field Players'!AT13</f>
        <v>7</v>
      </c>
      <c r="E15" s="146">
        <f>'Field Players'!BO13</f>
        <v>10</v>
      </c>
      <c r="F15" s="78">
        <f>'Field Players'!CJ13</f>
        <v>4</v>
      </c>
      <c r="G15" s="80">
        <f>'Field Players'!DE13</f>
        <v>14</v>
      </c>
      <c r="H15" s="79">
        <f>'Field Players'!DZ13</f>
        <v>7</v>
      </c>
      <c r="I15" s="78">
        <f>'Field Players'!EU13</f>
        <v>11</v>
      </c>
      <c r="J15" s="80">
        <f>'Field Players'!FL13</f>
        <v>15</v>
      </c>
      <c r="K15" s="228">
        <f>SUM(C15:J15)</f>
        <v>83</v>
      </c>
    </row>
    <row r="16" spans="1:11" x14ac:dyDescent="0.2">
      <c r="A16" s="1" t="s">
        <v>33</v>
      </c>
      <c r="B16" s="1" t="s">
        <v>34</v>
      </c>
      <c r="C16" s="79">
        <f>'Field Players'!Y9</f>
        <v>7</v>
      </c>
      <c r="D16" s="78">
        <f ca="1">'Field Players'!AT9</f>
        <v>6.9090909090909092</v>
      </c>
      <c r="E16" s="146">
        <f>'Field Players'!BO9</f>
        <v>9</v>
      </c>
      <c r="F16" s="78">
        <f ca="1">'Field Players'!CJ9</f>
        <v>9.5454545454545467</v>
      </c>
      <c r="G16" s="80">
        <f>'Field Players'!DE9</f>
        <v>14</v>
      </c>
      <c r="H16" s="79">
        <f>'Field Players'!DZ9</f>
        <v>11</v>
      </c>
      <c r="I16" s="78">
        <f>'Field Players'!EU9</f>
        <v>8</v>
      </c>
      <c r="J16" s="80">
        <f>'Field Players'!FL9</f>
        <v>17</v>
      </c>
      <c r="K16" s="228">
        <f ca="1">SUM(C16:J16)</f>
        <v>82.454545454545453</v>
      </c>
    </row>
    <row r="17" spans="1:11" x14ac:dyDescent="0.2">
      <c r="A17" s="1" t="s">
        <v>76</v>
      </c>
      <c r="B17" s="1" t="s">
        <v>77</v>
      </c>
      <c r="C17" s="79">
        <f>'Field Players'!Y31</f>
        <v>3</v>
      </c>
      <c r="D17" s="78">
        <f>'Field Players'!AT31</f>
        <v>7</v>
      </c>
      <c r="E17" s="146">
        <f>'Field Players'!BO31</f>
        <v>14</v>
      </c>
      <c r="F17" s="78">
        <f ca="1">'Field Players'!CJ31</f>
        <v>8.8333333333333357</v>
      </c>
      <c r="G17" s="80">
        <f>'Field Players'!DE31</f>
        <v>10</v>
      </c>
      <c r="H17" s="79">
        <f>'Field Players'!DZ31</f>
        <v>11</v>
      </c>
      <c r="I17" s="78">
        <f>'Field Players'!EU31</f>
        <v>8</v>
      </c>
      <c r="J17" s="80">
        <f ca="1">'Field Players'!FL31</f>
        <v>15.06666666666667</v>
      </c>
      <c r="K17" s="228">
        <f ca="1">SUM(C17:J17)</f>
        <v>76.900000000000006</v>
      </c>
    </row>
    <row r="18" spans="1:11" x14ac:dyDescent="0.2">
      <c r="A18" s="1" t="s">
        <v>30</v>
      </c>
      <c r="B18" s="1" t="s">
        <v>31</v>
      </c>
      <c r="C18" s="79">
        <f>'Field Players'!Y8</f>
        <v>4</v>
      </c>
      <c r="D18" s="181">
        <f ca="1">'Field Players'!AT8</f>
        <v>9.7575757575757578</v>
      </c>
      <c r="E18" s="146">
        <f>'Field Players'!BO8</f>
        <v>3</v>
      </c>
      <c r="F18" s="181">
        <f>'Field Players'!CJ8</f>
        <v>12</v>
      </c>
      <c r="G18" s="80">
        <f ca="1">'Field Players'!DE8</f>
        <v>8.7878787878787872</v>
      </c>
      <c r="H18" s="79">
        <f>'Field Players'!DZ8</f>
        <v>16</v>
      </c>
      <c r="I18" s="78">
        <f>'Field Players'!EU8</f>
        <v>8</v>
      </c>
      <c r="J18" s="80">
        <f>'Field Players'!FL8</f>
        <v>15</v>
      </c>
      <c r="K18" s="228">
        <f ca="1">SUM(C18:J18)</f>
        <v>76.545454545454547</v>
      </c>
    </row>
    <row r="19" spans="1:11" x14ac:dyDescent="0.2">
      <c r="A19" s="1" t="s">
        <v>43</v>
      </c>
      <c r="B19" s="1" t="s">
        <v>44</v>
      </c>
      <c r="C19" s="79">
        <f>'Field Players'!Y14</f>
        <v>4</v>
      </c>
      <c r="D19" s="78">
        <f>'Field Players'!AT14</f>
        <v>4</v>
      </c>
      <c r="E19" s="146">
        <f ca="1">'Field Players'!BO14</f>
        <v>8.6206896551724164</v>
      </c>
      <c r="F19" s="78">
        <f>'Field Players'!CJ14</f>
        <v>14</v>
      </c>
      <c r="G19" s="80">
        <f>'Field Players'!DE14</f>
        <v>13</v>
      </c>
      <c r="H19" s="79">
        <f>'Field Players'!DZ14</f>
        <v>1</v>
      </c>
      <c r="I19" s="78">
        <f ca="1">'Field Players'!EU14</f>
        <v>8.6206896551724164</v>
      </c>
      <c r="J19" s="80">
        <f ca="1">'Field Players'!FL14</f>
        <v>22.620689655172416</v>
      </c>
      <c r="K19" s="228">
        <f ca="1">SUM(C19:J19)</f>
        <v>75.862068965517238</v>
      </c>
    </row>
    <row r="20" spans="1:11" x14ac:dyDescent="0.2">
      <c r="A20" s="1" t="s">
        <v>45</v>
      </c>
      <c r="B20" s="1" t="s">
        <v>46</v>
      </c>
      <c r="C20" s="79">
        <f>'Field Players'!Y15</f>
        <v>14</v>
      </c>
      <c r="D20" s="78">
        <f>'Field Players'!AT15</f>
        <v>11</v>
      </c>
      <c r="E20" s="146">
        <f>'Field Players'!BO15</f>
        <v>18</v>
      </c>
      <c r="F20" s="78">
        <f ca="1">'Field Players'!CJ15</f>
        <v>4.4375</v>
      </c>
      <c r="G20" s="80">
        <f ca="1">'Field Players'!DE15</f>
        <v>8.59375</v>
      </c>
      <c r="H20" s="79">
        <f>'Field Players'!DZ15</f>
        <v>4</v>
      </c>
      <c r="I20" s="78">
        <f>'Field Players'!EU15</f>
        <v>7</v>
      </c>
      <c r="J20" s="80">
        <f>'Field Players'!FL15</f>
        <v>7</v>
      </c>
      <c r="K20" s="228">
        <f ca="1">SUM(C20:J20)</f>
        <v>74.03125</v>
      </c>
    </row>
    <row r="21" spans="1:11" x14ac:dyDescent="0.2">
      <c r="A21" s="1" t="s">
        <v>52</v>
      </c>
      <c r="B21" s="1" t="s">
        <v>53</v>
      </c>
      <c r="C21" s="79">
        <f>'Field Players'!Y19</f>
        <v>9</v>
      </c>
      <c r="D21" s="78">
        <f>'Field Players'!AT19</f>
        <v>9</v>
      </c>
      <c r="E21" s="146">
        <f>'Field Players'!BO19</f>
        <v>5</v>
      </c>
      <c r="F21" s="78">
        <f>'Field Players'!CJ19</f>
        <v>11</v>
      </c>
      <c r="G21" s="80">
        <f>'Field Players'!DE19</f>
        <v>9</v>
      </c>
      <c r="H21" s="79">
        <f>'Field Players'!DZ19</f>
        <v>6</v>
      </c>
      <c r="I21" s="78">
        <f>'Field Players'!EU19</f>
        <v>10</v>
      </c>
      <c r="J21" s="80">
        <f>'Field Players'!FL19</f>
        <v>14</v>
      </c>
      <c r="K21" s="228">
        <f>SUM(C21:J21)</f>
        <v>73</v>
      </c>
    </row>
    <row r="22" spans="1:11" x14ac:dyDescent="0.2">
      <c r="A22" s="1" t="s">
        <v>56</v>
      </c>
      <c r="B22" s="1" t="s">
        <v>57</v>
      </c>
      <c r="C22" s="79">
        <f>'Field Players'!Y21</f>
        <v>12</v>
      </c>
      <c r="D22" s="78">
        <f>'Field Players'!AT21</f>
        <v>7</v>
      </c>
      <c r="E22" s="146">
        <f>'Field Players'!BO21</f>
        <v>2</v>
      </c>
      <c r="F22" s="78">
        <f ca="1">'Field Players'!CJ21</f>
        <v>7.9411764705882355</v>
      </c>
      <c r="G22" s="80">
        <f>'Field Players'!DE21</f>
        <v>1</v>
      </c>
      <c r="H22" s="79">
        <f>'Field Players'!DZ21</f>
        <v>16</v>
      </c>
      <c r="I22" s="78">
        <f>'Field Players'!EU21</f>
        <v>9</v>
      </c>
      <c r="J22" s="80">
        <f>'Field Players'!FL21</f>
        <v>16</v>
      </c>
      <c r="K22" s="228">
        <f ca="1">SUM(C22:J22)</f>
        <v>70.941176470588232</v>
      </c>
    </row>
    <row r="23" spans="1:11" x14ac:dyDescent="0.2">
      <c r="A23" s="1" t="s">
        <v>86</v>
      </c>
      <c r="B23" s="1" t="s">
        <v>87</v>
      </c>
      <c r="C23" s="79">
        <f>'Field Players'!Y36</f>
        <v>7</v>
      </c>
      <c r="D23" s="78">
        <f>'Field Players'!AT36</f>
        <v>13</v>
      </c>
      <c r="E23" s="146">
        <f ca="1">'Field Players'!BO36</f>
        <v>8.4482758620689662</v>
      </c>
      <c r="F23" s="78">
        <f ca="1">'Field Players'!CJ36</f>
        <v>8.4482758620689662</v>
      </c>
      <c r="G23" s="80">
        <f>'Field Players'!DE36</f>
        <v>4</v>
      </c>
      <c r="H23" s="79">
        <f>'Field Players'!DZ36</f>
        <v>9</v>
      </c>
      <c r="I23" s="78">
        <f>'Field Players'!EU36</f>
        <v>5</v>
      </c>
      <c r="J23" s="80">
        <f>'Field Players'!FL36</f>
        <v>16</v>
      </c>
      <c r="K23" s="228">
        <f ca="1">SUM(C23:J23)</f>
        <v>70.896551724137936</v>
      </c>
    </row>
    <row r="24" spans="1:11" x14ac:dyDescent="0.2">
      <c r="A24" s="1" t="s">
        <v>58</v>
      </c>
      <c r="B24" s="1" t="s">
        <v>59</v>
      </c>
      <c r="C24" s="79">
        <f>'Field Players'!Y22</f>
        <v>8</v>
      </c>
      <c r="D24" s="78">
        <f>'Field Players'!AT22</f>
        <v>9</v>
      </c>
      <c r="E24" s="146">
        <f ca="1">'Field Players'!BO22</f>
        <v>5.6428571428571423</v>
      </c>
      <c r="F24" s="78">
        <f ca="1">'Field Players'!CJ22</f>
        <v>8.2142857142857135</v>
      </c>
      <c r="G24" s="80">
        <f ca="1">'Field Players'!DE22</f>
        <v>8.2142857142857135</v>
      </c>
      <c r="H24" s="79">
        <f>'Field Players'!DZ22</f>
        <v>14</v>
      </c>
      <c r="I24" s="78">
        <f>'Field Players'!EU22</f>
        <v>6</v>
      </c>
      <c r="J24" s="80">
        <f>'Field Players'!FL22</f>
        <v>11</v>
      </c>
      <c r="K24" s="228">
        <f ca="1">SUM(C24:J24)</f>
        <v>70.071428571428569</v>
      </c>
    </row>
    <row r="25" spans="1:11" x14ac:dyDescent="0.2">
      <c r="A25" s="1" t="s">
        <v>72</v>
      </c>
      <c r="B25" s="1" t="s">
        <v>73</v>
      </c>
      <c r="C25" s="79">
        <f>'Field Players'!Y29</f>
        <v>11</v>
      </c>
      <c r="D25" s="78">
        <f ca="1">'Field Players'!AT29</f>
        <v>11.666666666666666</v>
      </c>
      <c r="E25" s="146">
        <f>'Field Players'!BO29</f>
        <v>10</v>
      </c>
      <c r="F25" s="78">
        <f>'Field Players'!CJ29</f>
        <v>6</v>
      </c>
      <c r="G25" s="80">
        <f ca="1">'Field Players'!DE29</f>
        <v>5</v>
      </c>
      <c r="H25" s="79">
        <f ca="1">'Field Players'!DZ29</f>
        <v>9.3333333333333321</v>
      </c>
      <c r="I25" s="78">
        <f>'Field Players'!EU29</f>
        <v>5</v>
      </c>
      <c r="J25" s="80">
        <f>'Field Players'!FL29</f>
        <v>12</v>
      </c>
      <c r="K25" s="228">
        <f ca="1">SUM(C25:J25)</f>
        <v>70</v>
      </c>
    </row>
    <row r="26" spans="1:11" x14ac:dyDescent="0.2">
      <c r="A26" s="1" t="s">
        <v>84</v>
      </c>
      <c r="B26" s="1" t="s">
        <v>85</v>
      </c>
      <c r="C26" s="79">
        <f>'Field Players'!Y35</f>
        <v>7</v>
      </c>
      <c r="D26" s="78">
        <f ca="1">'Field Players'!AT35</f>
        <v>7.5632183908045993</v>
      </c>
      <c r="E26" s="146">
        <f ca="1">'Field Players'!BO35</f>
        <v>7.7298850574712663</v>
      </c>
      <c r="F26" s="78">
        <f>'Field Players'!CJ35</f>
        <v>13</v>
      </c>
      <c r="G26" s="80">
        <f>'Field Players'!DE35</f>
        <v>6</v>
      </c>
      <c r="H26" s="79">
        <f>'Field Players'!DZ35</f>
        <v>9</v>
      </c>
      <c r="I26" s="78">
        <f>'Field Players'!EU35</f>
        <v>9</v>
      </c>
      <c r="J26" s="80">
        <f>'Field Players'!FL35</f>
        <v>10</v>
      </c>
      <c r="K26" s="228">
        <f ca="1">SUM(C26:J26)</f>
        <v>69.293103448275872</v>
      </c>
    </row>
    <row r="27" spans="1:11" x14ac:dyDescent="0.2">
      <c r="A27" s="1" t="s">
        <v>80</v>
      </c>
      <c r="B27" s="1" t="s">
        <v>81</v>
      </c>
      <c r="C27" s="79">
        <f>'Field Players'!Y33</f>
        <v>4</v>
      </c>
      <c r="D27" s="78">
        <f>'Field Players'!AT33</f>
        <v>4</v>
      </c>
      <c r="E27" s="146">
        <f>'Field Players'!BO33</f>
        <v>8</v>
      </c>
      <c r="F27" s="78">
        <f>'Field Players'!CJ33</f>
        <v>9</v>
      </c>
      <c r="G27" s="80">
        <f>'Field Players'!DE33</f>
        <v>13</v>
      </c>
      <c r="H27" s="79">
        <f>'Field Players'!DZ33</f>
        <v>11</v>
      </c>
      <c r="I27" s="78">
        <f>'Field Players'!EU33</f>
        <v>7</v>
      </c>
      <c r="J27" s="80">
        <f>'Field Players'!FL33</f>
        <v>8</v>
      </c>
      <c r="K27" s="228">
        <f>SUM(C27:J27)</f>
        <v>64</v>
      </c>
    </row>
    <row r="28" spans="1:11" x14ac:dyDescent="0.2">
      <c r="A28" s="1" t="s">
        <v>54</v>
      </c>
      <c r="B28" s="1" t="s">
        <v>55</v>
      </c>
      <c r="C28" s="79">
        <f>'Field Players'!Y20</f>
        <v>6</v>
      </c>
      <c r="D28" s="78">
        <f>'Field Players'!AT20</f>
        <v>4</v>
      </c>
      <c r="E28" s="146">
        <f>'Field Players'!BO20</f>
        <v>9</v>
      </c>
      <c r="F28" s="78">
        <f>'Field Players'!CJ20</f>
        <v>5</v>
      </c>
      <c r="G28" s="80">
        <f>'Field Players'!DE20</f>
        <v>4</v>
      </c>
      <c r="H28" s="79">
        <f>'Field Players'!DZ20</f>
        <v>3</v>
      </c>
      <c r="I28" s="78">
        <f>'Field Players'!EU20</f>
        <v>12</v>
      </c>
      <c r="J28" s="80">
        <f>'Field Players'!FL20</f>
        <v>17</v>
      </c>
      <c r="K28" s="228">
        <f>SUM(C28:J28)</f>
        <v>60</v>
      </c>
    </row>
    <row r="29" spans="1:11" x14ac:dyDescent="0.2">
      <c r="A29" s="1" t="s">
        <v>37</v>
      </c>
      <c r="B29" s="1" t="s">
        <v>38</v>
      </c>
      <c r="C29" s="79">
        <f>'Field Players'!Y11</f>
        <v>7</v>
      </c>
      <c r="D29" s="78">
        <f>'Field Players'!AT11</f>
        <v>4</v>
      </c>
      <c r="E29" s="146">
        <f>'Field Players'!BO11</f>
        <v>5</v>
      </c>
      <c r="F29" s="78">
        <f>'Field Players'!CJ11</f>
        <v>5</v>
      </c>
      <c r="G29" s="80">
        <f>'Field Players'!DE11</f>
        <v>10</v>
      </c>
      <c r="H29" s="79">
        <f>'Field Players'!DZ11</f>
        <v>9</v>
      </c>
      <c r="I29" s="78">
        <f>'Field Players'!EU11</f>
        <v>4</v>
      </c>
      <c r="J29" s="80">
        <f>'Field Players'!FL11</f>
        <v>13</v>
      </c>
      <c r="K29" s="228">
        <f>SUM(C29:J29)</f>
        <v>57</v>
      </c>
    </row>
    <row r="30" spans="1:11" x14ac:dyDescent="0.2">
      <c r="A30" s="1" t="s">
        <v>47</v>
      </c>
      <c r="B30" s="1" t="s">
        <v>48</v>
      </c>
      <c r="C30" s="79">
        <f>'Field Players'!Y16</f>
        <v>7</v>
      </c>
      <c r="D30" s="78">
        <f>'Field Players'!AT16</f>
        <v>8</v>
      </c>
      <c r="E30" s="147">
        <f>'Field Players'!BO16</f>
        <v>3</v>
      </c>
      <c r="F30" s="78">
        <f>'Field Players'!CJ16</f>
        <v>12</v>
      </c>
      <c r="G30" s="80">
        <f>'Field Players'!DE16</f>
        <v>2</v>
      </c>
      <c r="H30" s="79">
        <f>'Field Players'!DZ16</f>
        <v>6</v>
      </c>
      <c r="I30" s="78">
        <f>'Field Players'!EU16</f>
        <v>6</v>
      </c>
      <c r="J30" s="80">
        <f>'Field Players'!FL16</f>
        <v>12</v>
      </c>
      <c r="K30" s="228">
        <f>SUM(C30:J30)</f>
        <v>56</v>
      </c>
    </row>
  </sheetData>
  <pageMargins left="0.7" right="0.7" top="0.75" bottom="0.75" header="0.3" footer="0.3"/>
  <pageSetup scale="82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2E28-2C63-B64F-9021-C447FFE944B4}">
  <dimension ref="A1:K30"/>
  <sheetViews>
    <sheetView workbookViewId="0">
      <selection activeCell="N10" sqref="N10"/>
    </sheetView>
  </sheetViews>
  <sheetFormatPr baseColWidth="10" defaultColWidth="11.5" defaultRowHeight="15" x14ac:dyDescent="0.2"/>
  <cols>
    <col min="11" max="11" width="11.5" style="225"/>
  </cols>
  <sheetData>
    <row r="1" spans="1:11" x14ac:dyDescent="0.2">
      <c r="A1" s="6" t="s">
        <v>23</v>
      </c>
      <c r="B1" s="24" t="s">
        <v>24</v>
      </c>
      <c r="C1" s="26" t="s">
        <v>18</v>
      </c>
      <c r="D1" s="26" t="s">
        <v>19</v>
      </c>
      <c r="E1" s="26" t="s">
        <v>20</v>
      </c>
      <c r="F1" s="26" t="s">
        <v>21</v>
      </c>
      <c r="G1" s="26" t="s">
        <v>22</v>
      </c>
      <c r="H1" s="26" t="s">
        <v>88</v>
      </c>
      <c r="I1" s="6" t="s">
        <v>89</v>
      </c>
      <c r="J1" s="26" t="s">
        <v>90</v>
      </c>
      <c r="K1" s="226" t="s">
        <v>28</v>
      </c>
    </row>
    <row r="2" spans="1:11" x14ac:dyDescent="0.2">
      <c r="A2" s="1" t="s">
        <v>35</v>
      </c>
      <c r="B2" s="1" t="s">
        <v>36</v>
      </c>
      <c r="C2" s="76">
        <f>'Field Players'!G10+'Field Players'!K10+'Field Players'!O10+'Field Players'!S10+'Field Players'!W10</f>
        <v>8</v>
      </c>
      <c r="D2" s="77">
        <f>'Field Players'!AB10+'Field Players'!AF10+'Field Players'!AJ10+'Field Players'!AN10+'Field Players'!AR10</f>
        <v>12</v>
      </c>
      <c r="E2" s="145">
        <f>'Field Players'!AW10+'Field Players'!BA10+'Field Players'!BE10+'Field Players'!BI10+'Field Players'!BM10</f>
        <v>8</v>
      </c>
      <c r="F2" s="145">
        <f>'Field Players'!BR10+'Field Players'!BV10+'Field Players'!BZ10+'Field Players'!CD10+'Field Players'!CH10</f>
        <v>11</v>
      </c>
      <c r="G2" s="174">
        <f ca="1">'Field Players'!CM10+'Field Players'!CQ10+'Field Players'!CU10+'Field Players'!CY10+'Field Players'!DC10</f>
        <v>9.5588235294117645</v>
      </c>
      <c r="H2" s="76">
        <f>'Field Players'!DH10+'Field Players'!DL10+'Field Players'!DP10+'Field Players'!DT10+'Field Players'!DX10</f>
        <v>13</v>
      </c>
      <c r="I2" s="78">
        <f>'Field Players'!EC10+'Field Players'!EG10+'Field Players'!EK10+'Field Players'!EO10+'Field Players'!ES10</f>
        <v>7</v>
      </c>
      <c r="J2" s="77">
        <f>'Field Players'!EX10+'Field Players'!FB10+'Field Players'!FF10+'Field Players'!FJ10</f>
        <v>6</v>
      </c>
      <c r="K2" s="227">
        <f ca="1">SUM(C2:J2)</f>
        <v>74.558823529411768</v>
      </c>
    </row>
    <row r="3" spans="1:11" x14ac:dyDescent="0.2">
      <c r="A3" s="1" t="s">
        <v>66</v>
      </c>
      <c r="B3" s="1" t="s">
        <v>67</v>
      </c>
      <c r="C3" s="79">
        <f>'Field Players'!G26+'Field Players'!K26+'Field Players'!O26+'Field Players'!S26+'Field Players'!W26</f>
        <v>5</v>
      </c>
      <c r="D3" s="78">
        <f>'Field Players'!AB26+'Field Players'!AF26+'Field Players'!AJ26+'Field Players'!AN26+'Field Players'!AR26</f>
        <v>7</v>
      </c>
      <c r="E3" s="146">
        <f>'Field Players'!AW26+'Field Players'!BA26+'Field Players'!BE26+'Field Players'!BI26+'Field Players'!BM26</f>
        <v>10</v>
      </c>
      <c r="F3" s="78">
        <f>'Field Players'!BR26+'Field Players'!BV26+'Field Players'!BZ26+'Field Players'!CD26+'Field Players'!CH26</f>
        <v>5</v>
      </c>
      <c r="G3" s="175">
        <f ca="1">'Field Players'!CM26+'Field Players'!CQ26+'Field Players'!CU26+'Field Players'!CY26+'Field Players'!DC26</f>
        <v>5.6666666666666661</v>
      </c>
      <c r="H3" s="79">
        <f>'Field Players'!DH26+'Field Players'!DL26+'Field Players'!DP26+'Field Players'!DT26+'Field Players'!DX26</f>
        <v>0</v>
      </c>
      <c r="I3" s="78">
        <f>'Field Players'!EC26+'Field Players'!EG26+'Field Players'!EK26+'Field Players'!EO26+'Field Players'!ES26</f>
        <v>7</v>
      </c>
      <c r="J3" s="175">
        <f ca="1">'Field Players'!EX26+'Field Players'!FB26+'Field Players'!FF26+'Field Players'!FJ26</f>
        <v>4.5333333333333332</v>
      </c>
      <c r="K3" s="228">
        <f ca="1">SUM(C3:J3)</f>
        <v>44.199999999999996</v>
      </c>
    </row>
    <row r="4" spans="1:11" x14ac:dyDescent="0.2">
      <c r="A4" s="1" t="s">
        <v>78</v>
      </c>
      <c r="B4" s="1" t="s">
        <v>79</v>
      </c>
      <c r="C4" s="79">
        <f>'Field Players'!G32+'Field Players'!K32+'Field Players'!O32+'Field Players'!S32+'Field Players'!W32</f>
        <v>4</v>
      </c>
      <c r="D4" s="86">
        <f ca="1">'Field Players'!AB32+'Field Players'!AF32+'Field Players'!AJ32+'Field Players'!AN32+'Field Players'!AR32</f>
        <v>3.3636363636363642</v>
      </c>
      <c r="E4" s="146">
        <f ca="1">'Field Players'!AW32+'Field Players'!BA32+'Field Players'!BE32+'Field Players'!BI32+'Field Players'!BM32</f>
        <v>4.1212121212121211</v>
      </c>
      <c r="F4" s="78">
        <f>'Field Players'!BR32+'Field Players'!BV32+'Field Players'!BZ32+'Field Players'!CD32+'Field Players'!CH32</f>
        <v>6</v>
      </c>
      <c r="G4" s="80">
        <f>'Field Players'!CM32+'Field Players'!CQ32+'Field Players'!CU32+'Field Players'!CY32+'Field Players'!DC32</f>
        <v>11</v>
      </c>
      <c r="H4" s="79">
        <f>'Field Players'!DH32+'Field Players'!DL32+'Field Players'!DP32+'Field Players'!DT32+'Field Players'!DX32</f>
        <v>5</v>
      </c>
      <c r="I4" s="78">
        <f ca="1">'Field Players'!EC32+'Field Players'!EG32+'Field Players'!EK32+'Field Players'!EO32+'Field Players'!ES32</f>
        <v>6.2424242424242422</v>
      </c>
      <c r="J4" s="80">
        <f>'Field Players'!EX32+'Field Players'!FB32+'Field Players'!FF32+'Field Players'!FJ32</f>
        <v>4</v>
      </c>
      <c r="K4" s="228">
        <f ca="1">SUM(C4:J4)</f>
        <v>43.727272727272727</v>
      </c>
    </row>
    <row r="5" spans="1:11" x14ac:dyDescent="0.2">
      <c r="A5" s="1" t="s">
        <v>51</v>
      </c>
      <c r="B5" s="1" t="s">
        <v>50</v>
      </c>
      <c r="C5" s="79">
        <f>'Field Players'!G18+'Field Players'!K18+'Field Players'!O18+'Field Players'!S18+'Field Players'!W18</f>
        <v>8</v>
      </c>
      <c r="D5" s="78">
        <f>'Field Players'!AB18+'Field Players'!AF18+'Field Players'!AJ18+'Field Players'!AN18+'Field Players'!AR18</f>
        <v>3</v>
      </c>
      <c r="E5" s="146">
        <f>'Field Players'!AW18+'Field Players'!BA18+'Field Players'!BE18+'Field Players'!BI18+'Field Players'!BM18</f>
        <v>7</v>
      </c>
      <c r="F5" s="86">
        <f ca="1">'Field Players'!BR18+'Field Players'!BV18+'Field Players'!BZ18+'Field Players'!CD18+'Field Players'!CH18</f>
        <v>5.5999999999999952</v>
      </c>
      <c r="G5" s="175">
        <f ca="1">'Field Players'!CM18+'Field Players'!CQ18+'Field Players'!CU18+'Field Players'!CY18+'Field Players'!DC18</f>
        <v>5.5999999999999952</v>
      </c>
      <c r="H5" s="79">
        <f>'Field Players'!DH18+'Field Players'!DL18+'Field Players'!DP18+'Field Players'!DT18+'Field Players'!DX18</f>
        <v>6</v>
      </c>
      <c r="I5" s="78">
        <f>'Field Players'!EC18+'Field Players'!EG18+'Field Players'!EK18+'Field Players'!EO18+'Field Players'!ES18</f>
        <v>4</v>
      </c>
      <c r="J5" s="175">
        <f ca="1">'Field Players'!EX18+'Field Players'!FB18+'Field Players'!FF18+'Field Players'!FJ18</f>
        <v>4.479999999999996</v>
      </c>
      <c r="K5" s="228">
        <f ca="1">SUM(C5:J5)</f>
        <v>43.679999999999986</v>
      </c>
    </row>
    <row r="6" spans="1:11" x14ac:dyDescent="0.2">
      <c r="A6" s="1" t="s">
        <v>39</v>
      </c>
      <c r="B6" s="1" t="s">
        <v>40</v>
      </c>
      <c r="C6" s="79">
        <f>'Field Players'!G12+'Field Players'!K12+'Field Players'!O12+'Field Players'!S12+'Field Players'!W12</f>
        <v>3</v>
      </c>
      <c r="D6" s="78">
        <f>'Field Players'!AB12+'Field Players'!AF12+'Field Players'!AJ12+'Field Players'!AN12+'Field Players'!AR12</f>
        <v>4</v>
      </c>
      <c r="E6" s="146">
        <f>'Field Players'!AW12+'Field Players'!BA12+'Field Players'!BE12+'Field Players'!BI12+'Field Players'!BM12</f>
        <v>8</v>
      </c>
      <c r="F6" s="78">
        <f>'Field Players'!BR12+'Field Players'!BV12+'Field Players'!BZ12+'Field Players'!CD12+'Field Players'!CH12</f>
        <v>9</v>
      </c>
      <c r="G6" s="80">
        <f>'Field Players'!CM12+'Field Players'!CQ12+'Field Players'!CU12+'Field Players'!CY12+'Field Players'!DC12</f>
        <v>8</v>
      </c>
      <c r="H6" s="79">
        <f>'Field Players'!DH12+'Field Players'!DL12+'Field Players'!DP12+'Field Players'!DT12+'Field Players'!DX12</f>
        <v>2</v>
      </c>
      <c r="I6" s="86">
        <f ca="1">'Field Players'!EC12+'Field Players'!EG12+'Field Players'!EK12+'Field Players'!EO12+'Field Players'!ES12</f>
        <v>5.4838709677419324</v>
      </c>
      <c r="J6" s="175">
        <f ca="1">'Field Players'!EX12+'Field Players'!FB12+'Field Players'!FF12+'Field Players'!FJ12</f>
        <v>3.2903225806451597</v>
      </c>
      <c r="K6" s="228">
        <f ca="1">SUM(C6:J6)</f>
        <v>42.774193548387096</v>
      </c>
    </row>
    <row r="7" spans="1:11" x14ac:dyDescent="0.2">
      <c r="A7" s="1" t="s">
        <v>62</v>
      </c>
      <c r="B7" s="1" t="s">
        <v>63</v>
      </c>
      <c r="C7" s="79">
        <f>'Field Players'!G24+'Field Players'!K24+'Field Players'!O24+'Field Players'!S24+'Field Players'!W24</f>
        <v>6</v>
      </c>
      <c r="D7" s="78">
        <f>'Field Players'!AB24+'Field Players'!AF24+'Field Players'!AJ24+'Field Players'!AN24+'Field Players'!AR24</f>
        <v>3</v>
      </c>
      <c r="E7" s="146">
        <f>'Field Players'!AW24+'Field Players'!BA24+'Field Players'!BE24+'Field Players'!BI24+'Field Players'!BM24</f>
        <v>3</v>
      </c>
      <c r="F7" s="78">
        <f>'Field Players'!BR24+'Field Players'!BV24+'Field Players'!BZ24+'Field Players'!CD24+'Field Players'!CH24</f>
        <v>5</v>
      </c>
      <c r="G7" s="80">
        <f>'Field Players'!CM24+'Field Players'!CQ24+'Field Players'!CU24+'Field Players'!CY24+'Field Players'!DC24</f>
        <v>3</v>
      </c>
      <c r="H7" s="79">
        <f>'Field Players'!DH24+'Field Players'!DL24+'Field Players'!DP24+'Field Players'!DT24+'Field Players'!DX24</f>
        <v>4</v>
      </c>
      <c r="I7" s="78">
        <f>'Field Players'!EC24+'Field Players'!EG24+'Field Players'!EK24+'Field Players'!EO24+'Field Players'!ES24</f>
        <v>6</v>
      </c>
      <c r="J7" s="80">
        <f>'Field Players'!EX24+'Field Players'!FB24+'Field Players'!FF24+'Field Players'!FJ24</f>
        <v>5</v>
      </c>
      <c r="K7" s="228">
        <f>SUM(C7:J7)</f>
        <v>35</v>
      </c>
    </row>
    <row r="8" spans="1:11" x14ac:dyDescent="0.2">
      <c r="A8" s="1" t="s">
        <v>64</v>
      </c>
      <c r="B8" s="1" t="s">
        <v>65</v>
      </c>
      <c r="C8" s="79">
        <f>'Field Players'!G25+'Field Players'!K25+'Field Players'!O25+'Field Players'!S25+'Field Players'!W25</f>
        <v>3</v>
      </c>
      <c r="D8" s="78">
        <f>'Field Players'!AB25+'Field Players'!AF25+'Field Players'!AJ25+'Field Players'!AN25+'Field Players'!AR25</f>
        <v>10</v>
      </c>
      <c r="E8" s="176">
        <f ca="1">'Field Players'!AW25+'Field Players'!BA25+'Field Players'!BE25+'Field Players'!BI25+'Field Players'!BM25</f>
        <v>4.1379310344827589</v>
      </c>
      <c r="F8" s="78">
        <f>'Field Players'!BR25+'Field Players'!BV25+'Field Players'!BZ25+'Field Players'!CD25+'Field Players'!CH25</f>
        <v>7</v>
      </c>
      <c r="G8" s="80">
        <f>'Field Players'!CM25+'Field Players'!CQ25+'Field Players'!CU25+'Field Players'!CY25+'Field Players'!DC25</f>
        <v>1</v>
      </c>
      <c r="H8" s="79">
        <f>'Field Players'!DH25+'Field Players'!DL25+'Field Players'!DP25+'Field Players'!DT25+'Field Players'!DX25</f>
        <v>3</v>
      </c>
      <c r="I8" s="86">
        <f ca="1">'Field Players'!EC25+'Field Players'!EG25+'Field Players'!EK25+'Field Players'!EO25+'Field Players'!ES25</f>
        <v>4.1379310344827589</v>
      </c>
      <c r="J8" s="80">
        <f>'Field Players'!EX25+'Field Players'!FB25+'Field Players'!FF25+'Field Players'!FJ25</f>
        <v>0</v>
      </c>
      <c r="K8" s="228">
        <f ca="1">SUM(C8:J8)</f>
        <v>32.275862068965516</v>
      </c>
    </row>
    <row r="9" spans="1:11" x14ac:dyDescent="0.2">
      <c r="A9" s="1" t="s">
        <v>82</v>
      </c>
      <c r="B9" s="1" t="s">
        <v>83</v>
      </c>
      <c r="C9" s="79">
        <f>'Field Players'!G34+'Field Players'!K34+'Field Players'!O34+'Field Players'!S34+'Field Players'!W34</f>
        <v>2</v>
      </c>
      <c r="D9" s="78">
        <f>'Field Players'!AB34+'Field Players'!AF34+'Field Players'!AJ34+'Field Players'!AN34+'Field Players'!AR34</f>
        <v>3</v>
      </c>
      <c r="E9" s="146">
        <f>'Field Players'!AW34+'Field Players'!BA34+'Field Players'!BE34+'Field Players'!BI34+'Field Players'!BM34</f>
        <v>4</v>
      </c>
      <c r="F9" s="78">
        <f>'Field Players'!BR34+'Field Players'!BV34+'Field Players'!BZ34+'Field Players'!CD34+'Field Players'!CH34</f>
        <v>1</v>
      </c>
      <c r="G9" s="80">
        <f>'Field Players'!CM34+'Field Players'!CQ34+'Field Players'!CU34+'Field Players'!CY34+'Field Players'!DC34</f>
        <v>6</v>
      </c>
      <c r="H9" s="79">
        <f>'Field Players'!DH34+'Field Players'!DL34+'Field Players'!DP34+'Field Players'!DT34+'Field Players'!DX34</f>
        <v>3</v>
      </c>
      <c r="I9" s="78">
        <f>'Field Players'!EC34+'Field Players'!EG34+'Field Players'!EK34+'Field Players'!EO34+'Field Players'!ES34</f>
        <v>4</v>
      </c>
      <c r="J9" s="80">
        <f>'Field Players'!EX34+'Field Players'!FB34+'Field Players'!FF34+'Field Players'!FJ34</f>
        <v>9</v>
      </c>
      <c r="K9" s="228">
        <f>SUM(C9:J9)</f>
        <v>32</v>
      </c>
    </row>
    <row r="10" spans="1:11" x14ac:dyDescent="0.2">
      <c r="A10" s="1" t="s">
        <v>74</v>
      </c>
      <c r="B10" s="1" t="s">
        <v>75</v>
      </c>
      <c r="C10" s="79">
        <f>'Field Players'!G30+'Field Players'!K30+'Field Players'!O30+'Field Players'!S30+'Field Players'!W30</f>
        <v>2</v>
      </c>
      <c r="D10" s="78">
        <f>'Field Players'!AB30+'Field Players'!AF30+'Field Players'!AJ30+'Field Players'!AN30+'Field Players'!AR30</f>
        <v>6</v>
      </c>
      <c r="E10" s="146">
        <f>'Field Players'!AW30+'Field Players'!BA30+'Field Players'!BE30+'Field Players'!BI30+'Field Players'!BM30</f>
        <v>3</v>
      </c>
      <c r="F10" s="78">
        <f>'Field Players'!BR30+'Field Players'!BV30+'Field Players'!BZ30+'Field Players'!CD30+'Field Players'!CH30</f>
        <v>2</v>
      </c>
      <c r="G10" s="80">
        <f>'Field Players'!CM30+'Field Players'!CQ30+'Field Players'!CU30+'Field Players'!CY30+'Field Players'!DC30</f>
        <v>6</v>
      </c>
      <c r="H10" s="79">
        <f>'Field Players'!DH30+'Field Players'!DL30+'Field Players'!DP30+'Field Players'!DT30+'Field Players'!DX30</f>
        <v>3</v>
      </c>
      <c r="I10" s="78">
        <f>'Field Players'!EC30+'Field Players'!EG30+'Field Players'!EK30+'Field Players'!EO30+'Field Players'!ES30</f>
        <v>5</v>
      </c>
      <c r="J10" s="80">
        <f>'Field Players'!EX30+'Field Players'!FB30+'Field Players'!FF30+'Field Players'!FJ30</f>
        <v>2</v>
      </c>
      <c r="K10" s="228">
        <f>SUM(C10:J10)</f>
        <v>29</v>
      </c>
    </row>
    <row r="11" spans="1:11" x14ac:dyDescent="0.2">
      <c r="A11" s="1" t="s">
        <v>43</v>
      </c>
      <c r="B11" s="1" t="s">
        <v>44</v>
      </c>
      <c r="C11" s="79">
        <f>'Field Players'!G14+'Field Players'!K14+'Field Players'!O14+'Field Players'!S14+'Field Players'!W14</f>
        <v>1</v>
      </c>
      <c r="D11" s="78">
        <f>'Field Players'!AB14+'Field Players'!AF14+'Field Players'!AJ14+'Field Players'!AN14+'Field Players'!AR14</f>
        <v>1</v>
      </c>
      <c r="E11" s="176">
        <f ca="1">'Field Players'!AW14+'Field Players'!BA14+'Field Players'!BE14+'Field Players'!BI14+'Field Players'!BM14</f>
        <v>3.4482758620689662</v>
      </c>
      <c r="F11" s="78">
        <f>'Field Players'!BR14+'Field Players'!BV14+'Field Players'!BZ14+'Field Players'!CD14+'Field Players'!CH14</f>
        <v>5</v>
      </c>
      <c r="G11" s="80">
        <f>'Field Players'!CM14+'Field Players'!CQ14+'Field Players'!CU14+'Field Players'!CY14+'Field Players'!DC14</f>
        <v>6</v>
      </c>
      <c r="H11" s="79">
        <f>'Field Players'!DH14+'Field Players'!DL14+'Field Players'!DP14+'Field Players'!DT14+'Field Players'!DX14</f>
        <v>1</v>
      </c>
      <c r="I11" s="86">
        <f ca="1">'Field Players'!EC14+'Field Players'!EG14+'Field Players'!EK14+'Field Players'!EO14+'Field Players'!ES14</f>
        <v>3.4482758620689662</v>
      </c>
      <c r="J11" s="80">
        <f>'Field Players'!EX14+'Field Players'!FB14+'Field Players'!FF14+'Field Players'!FJ14</f>
        <v>6</v>
      </c>
      <c r="K11" s="228">
        <f ca="1">SUM(C11:J11)</f>
        <v>26.896551724137936</v>
      </c>
    </row>
    <row r="12" spans="1:11" x14ac:dyDescent="0.2">
      <c r="A12" s="1" t="s">
        <v>60</v>
      </c>
      <c r="B12" s="1" t="s">
        <v>61</v>
      </c>
      <c r="C12" s="79">
        <f>'Field Players'!G23+'Field Players'!K23+'Field Players'!O23+'Field Players'!S23+'Field Players'!W23</f>
        <v>3</v>
      </c>
      <c r="D12" s="78">
        <f>'Field Players'!AB23+'Field Players'!AF23+'Field Players'!AJ23+'Field Players'!AN23+'Field Players'!AR23</f>
        <v>0</v>
      </c>
      <c r="E12" s="146">
        <f>'Field Players'!AW23+'Field Players'!BA23+'Field Players'!BE23+'Field Players'!BI23+'Field Players'!BM23</f>
        <v>2</v>
      </c>
      <c r="F12" s="78">
        <f>'Field Players'!BR23+'Field Players'!BV23+'Field Players'!BZ23+'Field Players'!CD23+'Field Players'!CH23</f>
        <v>3</v>
      </c>
      <c r="G12" s="80">
        <f>'Field Players'!CM23+'Field Players'!CQ23+'Field Players'!CU23+'Field Players'!CY23+'Field Players'!DC23</f>
        <v>3</v>
      </c>
      <c r="H12" s="79">
        <f>'Field Players'!DH23+'Field Players'!DL23+'Field Players'!DP23+'Field Players'!DT23+'Field Players'!DX23</f>
        <v>6</v>
      </c>
      <c r="I12" s="86">
        <f ca="1">'Field Players'!EC23+'Field Players'!EG23+'Field Players'!EK23+'Field Players'!EO23+'Field Players'!ES23</f>
        <v>2.4000000000000008</v>
      </c>
      <c r="J12" s="80">
        <f>'Field Players'!EX23+'Field Players'!FB23+'Field Players'!FF23+'Field Players'!FJ23</f>
        <v>4</v>
      </c>
      <c r="K12" s="228">
        <f ca="1">SUM(C12:J12)</f>
        <v>23.400000000000002</v>
      </c>
    </row>
    <row r="13" spans="1:11" x14ac:dyDescent="0.2">
      <c r="A13" s="1" t="s">
        <v>70</v>
      </c>
      <c r="B13" s="1" t="s">
        <v>71</v>
      </c>
      <c r="C13" s="79">
        <f>'Field Players'!G28+'Field Players'!K28+'Field Players'!O28+'Field Players'!S28+'Field Players'!W28</f>
        <v>1</v>
      </c>
      <c r="D13" s="78">
        <f>'Field Players'!AB28+'Field Players'!AF28+'Field Players'!AJ28+'Field Players'!AN28+'Field Players'!AR28</f>
        <v>4</v>
      </c>
      <c r="E13" s="146">
        <f>'Field Players'!AW28+'Field Players'!BA28+'Field Players'!BE28+'Field Players'!BI28+'Field Players'!BM28</f>
        <v>3</v>
      </c>
      <c r="F13" s="78">
        <f>'Field Players'!BR28+'Field Players'!BV28+'Field Players'!BZ28+'Field Players'!CD28+'Field Players'!CH28</f>
        <v>1</v>
      </c>
      <c r="G13" s="80">
        <f>'Field Players'!CM28+'Field Players'!CQ28+'Field Players'!CU28+'Field Players'!CY28+'Field Players'!DC28</f>
        <v>5</v>
      </c>
      <c r="H13" s="79">
        <f>'Field Players'!DH28+'Field Players'!DL28+'Field Players'!DP28+'Field Players'!DT28+'Field Players'!DX28</f>
        <v>3</v>
      </c>
      <c r="I13" s="78">
        <f>'Field Players'!EC28+'Field Players'!EG28+'Field Players'!EK28+'Field Players'!EO28+'Field Players'!ES28</f>
        <v>4</v>
      </c>
      <c r="J13" s="80">
        <f>'Field Players'!EX28+'Field Players'!FB28+'Field Players'!FF28+'Field Players'!FJ28</f>
        <v>1</v>
      </c>
      <c r="K13" s="228">
        <f>SUM(C13:J13)</f>
        <v>22</v>
      </c>
    </row>
    <row r="14" spans="1:11" x14ac:dyDescent="0.2">
      <c r="A14" s="1" t="s">
        <v>49</v>
      </c>
      <c r="B14" s="1" t="s">
        <v>50</v>
      </c>
      <c r="C14" s="79">
        <f>'Field Players'!G17+'Field Players'!K17+'Field Players'!O17+'Field Players'!S17+'Field Players'!W17</f>
        <v>3</v>
      </c>
      <c r="D14" s="78">
        <f>'Field Players'!AB17+'Field Players'!AF17+'Field Players'!AJ17+'Field Players'!AN17+'Field Players'!AR17</f>
        <v>1</v>
      </c>
      <c r="E14" s="146">
        <f>'Field Players'!AW17+'Field Players'!BA17+'Field Players'!BE17+'Field Players'!BI17+'Field Players'!BM17</f>
        <v>2</v>
      </c>
      <c r="F14" s="78">
        <f>'Field Players'!BR17+'Field Players'!BV17+'Field Players'!BZ17+'Field Players'!CD17+'Field Players'!CH17</f>
        <v>2</v>
      </c>
      <c r="G14" s="80">
        <f>'Field Players'!CM17+'Field Players'!CQ17+'Field Players'!CU17+'Field Players'!CY17+'Field Players'!DC17</f>
        <v>1</v>
      </c>
      <c r="H14" s="79">
        <f>'Field Players'!DH17+'Field Players'!DL17+'Field Players'!DP17+'Field Players'!DT17+'Field Players'!DX17</f>
        <v>4</v>
      </c>
      <c r="I14" s="78">
        <f>'Field Players'!EC17+'Field Players'!EG17+'Field Players'!EK17+'Field Players'!EO17+'Field Players'!ES17</f>
        <v>3</v>
      </c>
      <c r="J14" s="80">
        <f>'Field Players'!EX17+'Field Players'!FB17+'Field Players'!FF17+'Field Players'!FJ17</f>
        <v>4</v>
      </c>
      <c r="K14" s="228">
        <f>SUM(C14:J14)</f>
        <v>20</v>
      </c>
    </row>
    <row r="15" spans="1:11" x14ac:dyDescent="0.2">
      <c r="A15" s="1" t="s">
        <v>68</v>
      </c>
      <c r="B15" s="1" t="s">
        <v>69</v>
      </c>
      <c r="C15" s="79">
        <f>'Field Players'!G27+'Field Players'!K27+'Field Players'!O27+'Field Players'!S27+'Field Players'!W27</f>
        <v>0</v>
      </c>
      <c r="D15" s="78">
        <f>'Field Players'!AB27+'Field Players'!AF27+'Field Players'!AJ27+'Field Players'!AN27+'Field Players'!AR27</f>
        <v>3</v>
      </c>
      <c r="E15" s="146">
        <f>'Field Players'!AW27+'Field Players'!BA27+'Field Players'!BE27+'Field Players'!BI27+'Field Players'!BM27</f>
        <v>1</v>
      </c>
      <c r="F15" s="78">
        <f>'Field Players'!BR27+'Field Players'!BV27+'Field Players'!BZ27+'Field Players'!CD27+'Field Players'!CH27</f>
        <v>4</v>
      </c>
      <c r="G15" s="80">
        <f>'Field Players'!CM27+'Field Players'!CQ27+'Field Players'!CU27+'Field Players'!CY27+'Field Players'!DC27</f>
        <v>2</v>
      </c>
      <c r="H15" s="79">
        <f>'Field Players'!DH27+'Field Players'!DL27+'Field Players'!DP27+'Field Players'!DT27+'Field Players'!DX27</f>
        <v>4</v>
      </c>
      <c r="I15" s="78">
        <f>'Field Players'!EC27+'Field Players'!EG27+'Field Players'!EK27+'Field Players'!EO27+'Field Players'!ES27</f>
        <v>4</v>
      </c>
      <c r="J15" s="80">
        <f>'Field Players'!EX27+'Field Players'!FB27+'Field Players'!FF27+'Field Players'!FJ27</f>
        <v>1</v>
      </c>
      <c r="K15" s="228">
        <f>SUM(C15:J15)</f>
        <v>19</v>
      </c>
    </row>
    <row r="16" spans="1:11" x14ac:dyDescent="0.2">
      <c r="A16" s="1" t="s">
        <v>41</v>
      </c>
      <c r="B16" s="1" t="s">
        <v>42</v>
      </c>
      <c r="C16" s="79">
        <f>'Field Players'!G13+'Field Players'!K13+'Field Players'!O13+'Field Players'!S13+'Field Players'!W13</f>
        <v>3</v>
      </c>
      <c r="D16" s="78">
        <f>'Field Players'!AB13+'Field Players'!AF13+'Field Players'!AJ13+'Field Players'!AN13+'Field Players'!AR13</f>
        <v>2</v>
      </c>
      <c r="E16" s="146">
        <f>'Field Players'!AW13+'Field Players'!BA13+'Field Players'!BE13+'Field Players'!BI13+'Field Players'!BM13</f>
        <v>3</v>
      </c>
      <c r="F16" s="78">
        <f>'Field Players'!BR13+'Field Players'!BV13+'Field Players'!BZ13+'Field Players'!CD13+'Field Players'!CH13</f>
        <v>1</v>
      </c>
      <c r="G16" s="80">
        <f>'Field Players'!CM13+'Field Players'!CQ13+'Field Players'!CU13+'Field Players'!CY13+'Field Players'!DC13</f>
        <v>4</v>
      </c>
      <c r="H16" s="79">
        <f>'Field Players'!DH13+'Field Players'!DL13+'Field Players'!DP13+'Field Players'!DT13+'Field Players'!DX13</f>
        <v>1</v>
      </c>
      <c r="I16" s="78">
        <f>'Field Players'!EC13+'Field Players'!EG13+'Field Players'!EK13+'Field Players'!EO13+'Field Players'!ES13</f>
        <v>3</v>
      </c>
      <c r="J16" s="80">
        <f>'Field Players'!EX13+'Field Players'!FB13+'Field Players'!FF13+'Field Players'!FJ13</f>
        <v>0</v>
      </c>
      <c r="K16" s="228">
        <f>SUM(C16:J16)</f>
        <v>17</v>
      </c>
    </row>
    <row r="17" spans="1:11" x14ac:dyDescent="0.2">
      <c r="A17" s="1" t="s">
        <v>76</v>
      </c>
      <c r="B17" s="1" t="s">
        <v>77</v>
      </c>
      <c r="C17" s="79">
        <f>'Field Players'!G31+'Field Players'!K31+'Field Players'!O31+'Field Players'!S31+'Field Players'!W31</f>
        <v>0</v>
      </c>
      <c r="D17" s="78">
        <f>'Field Players'!AB31+'Field Players'!AF31+'Field Players'!AJ31+'Field Players'!AN31+'Field Players'!AR31</f>
        <v>3</v>
      </c>
      <c r="E17" s="146">
        <f>'Field Players'!AW31+'Field Players'!BA31+'Field Players'!BE31+'Field Players'!BI31+'Field Players'!BM31</f>
        <v>4</v>
      </c>
      <c r="F17" s="86">
        <f ca="1">'Field Players'!BR31+'Field Players'!BV31+'Field Players'!BZ31+'Field Players'!CD31+'Field Players'!CH31</f>
        <v>2.166666666666667</v>
      </c>
      <c r="G17" s="80">
        <f>'Field Players'!CM31+'Field Players'!CQ31+'Field Players'!CU31+'Field Players'!CY31+'Field Players'!DC31</f>
        <v>3</v>
      </c>
      <c r="H17" s="79">
        <f>'Field Players'!DH31+'Field Players'!DL31+'Field Players'!DP31+'Field Players'!DT31+'Field Players'!DX31</f>
        <v>2</v>
      </c>
      <c r="I17" s="78">
        <f>'Field Players'!EC31+'Field Players'!EG31+'Field Players'!EK31+'Field Players'!EO31+'Field Players'!ES31</f>
        <v>1</v>
      </c>
      <c r="J17" s="175">
        <f ca="1">'Field Players'!EX31+'Field Players'!FB31+'Field Players'!FF31+'Field Players'!FJ31</f>
        <v>1.7333333333333336</v>
      </c>
      <c r="K17" s="228">
        <f ca="1">SUM(C17:J17)</f>
        <v>16.900000000000002</v>
      </c>
    </row>
    <row r="18" spans="1:11" x14ac:dyDescent="0.2">
      <c r="A18" s="1" t="s">
        <v>45</v>
      </c>
      <c r="B18" s="1" t="s">
        <v>46</v>
      </c>
      <c r="C18" s="79">
        <f>'Field Players'!G15+'Field Players'!K15+'Field Players'!O15+'Field Players'!S15+'Field Players'!W15</f>
        <v>2</v>
      </c>
      <c r="D18" s="78">
        <f>'Field Players'!AB15+'Field Players'!AF15+'Field Players'!AJ15+'Field Players'!AN15+'Field Players'!AR15</f>
        <v>2</v>
      </c>
      <c r="E18" s="146">
        <f>'Field Players'!AW15+'Field Players'!BA15+'Field Players'!BE15+'Field Players'!BI15+'Field Players'!BM15</f>
        <v>5</v>
      </c>
      <c r="F18" s="78">
        <f ca="1">'Field Players'!BR15+'Field Players'!BV15+'Field Players'!BZ15+'Field Players'!CD15+'Field Players'!CH15</f>
        <v>1.8125</v>
      </c>
      <c r="G18" s="175">
        <f ca="1">'Field Players'!CM15+'Field Players'!CQ15+'Field Players'!CU15+'Field Players'!CY15+'Field Players'!DC15</f>
        <v>2.03125</v>
      </c>
      <c r="H18" s="79">
        <f>'Field Players'!DH15+'Field Players'!DL15+'Field Players'!DP15+'Field Players'!DT15+'Field Players'!DX15</f>
        <v>1</v>
      </c>
      <c r="I18" s="78">
        <f>'Field Players'!EC15+'Field Players'!EG15+'Field Players'!EK15+'Field Players'!EO15+'Field Players'!ES15</f>
        <v>2</v>
      </c>
      <c r="J18" s="80">
        <f>'Field Players'!EX15+'Field Players'!FB15+'Field Players'!FF15+'Field Players'!FJ15</f>
        <v>0</v>
      </c>
      <c r="K18" s="228">
        <f ca="1">SUM(C18:J18)</f>
        <v>15.84375</v>
      </c>
    </row>
    <row r="19" spans="1:11" x14ac:dyDescent="0.2">
      <c r="A19" s="1" t="s">
        <v>58</v>
      </c>
      <c r="B19" s="1" t="s">
        <v>59</v>
      </c>
      <c r="C19" s="79">
        <f>'Field Players'!G22+'Field Players'!K22+'Field Players'!O22+'Field Players'!S22+'Field Players'!W22</f>
        <v>2</v>
      </c>
      <c r="D19" s="78">
        <f>'Field Players'!AB22+'Field Players'!AF22+'Field Players'!AJ22+'Field Players'!AN22+'Field Players'!AR22</f>
        <v>3</v>
      </c>
      <c r="E19" s="146">
        <f ca="1">'Field Players'!AW22+'Field Players'!BA22+'Field Players'!BE22+'Field Players'!BI22+'Field Players'!BM22</f>
        <v>0.3928571428571429</v>
      </c>
      <c r="F19" s="86">
        <f ca="1">'Field Players'!BR22+'Field Players'!BV22+'Field Players'!BZ22+'Field Players'!CD22+'Field Players'!CH22</f>
        <v>1.9642857142857144</v>
      </c>
      <c r="G19" s="175">
        <f ca="1">'Field Players'!CM22+'Field Players'!CQ22+'Field Players'!CU22+'Field Players'!CY22+'Field Players'!DC22</f>
        <v>1.9642857142857144</v>
      </c>
      <c r="H19" s="79">
        <f>'Field Players'!DH22+'Field Players'!DL22+'Field Players'!DP22+'Field Players'!DT22+'Field Players'!DX22</f>
        <v>5</v>
      </c>
      <c r="I19" s="78">
        <f>'Field Players'!EC22+'Field Players'!EG22+'Field Players'!EK22+'Field Players'!EO22+'Field Players'!ES22</f>
        <v>1</v>
      </c>
      <c r="J19" s="80">
        <f>'Field Players'!EX22+'Field Players'!FB22+'Field Players'!FF22+'Field Players'!FJ22</f>
        <v>0</v>
      </c>
      <c r="K19" s="228">
        <f ca="1">SUM(C19:J19)</f>
        <v>15.321428571428573</v>
      </c>
    </row>
    <row r="20" spans="1:11" x14ac:dyDescent="0.2">
      <c r="A20" s="1" t="s">
        <v>86</v>
      </c>
      <c r="B20" s="1" t="s">
        <v>87</v>
      </c>
      <c r="C20" s="79">
        <f>'Field Players'!G36+'Field Players'!K36+'Field Players'!O36+'Field Players'!S36+'Field Players'!W36</f>
        <v>1</v>
      </c>
      <c r="D20" s="78">
        <f>'Field Players'!AB36+'Field Players'!AF36+'Field Players'!AJ36+'Field Players'!AN36+'Field Players'!AR36</f>
        <v>3</v>
      </c>
      <c r="E20" s="176">
        <f ca="1">'Field Players'!AW36+'Field Players'!BA36+'Field Players'!BE36+'Field Players'!BI36+'Field Players'!BM36</f>
        <v>1.8965517241379313</v>
      </c>
      <c r="F20" s="86">
        <f ca="1">'Field Players'!BR36+'Field Players'!BV36+'Field Players'!BZ36+'Field Players'!CD36+'Field Players'!CH36</f>
        <v>1.8965517241379313</v>
      </c>
      <c r="G20" s="80">
        <f>'Field Players'!CM36+'Field Players'!CQ36+'Field Players'!CU36+'Field Players'!CY36+'Field Players'!DC36</f>
        <v>1</v>
      </c>
      <c r="H20" s="79">
        <f>'Field Players'!DH36+'Field Players'!DL36+'Field Players'!DP36+'Field Players'!DT36+'Field Players'!DX36</f>
        <v>3</v>
      </c>
      <c r="I20" s="78">
        <f>'Field Players'!EC36+'Field Players'!EG36+'Field Players'!EK36+'Field Players'!EO36+'Field Players'!ES36</f>
        <v>1</v>
      </c>
      <c r="J20" s="80">
        <f>'Field Players'!EX36+'Field Players'!FB36+'Field Players'!FF36+'Field Players'!FJ36</f>
        <v>2</v>
      </c>
      <c r="K20" s="228">
        <f ca="1">SUM(C20:J20)</f>
        <v>14.793103448275863</v>
      </c>
    </row>
    <row r="21" spans="1:11" x14ac:dyDescent="0.2">
      <c r="A21" s="1" t="s">
        <v>33</v>
      </c>
      <c r="B21" s="1" t="s">
        <v>34</v>
      </c>
      <c r="C21" s="79">
        <f>'Field Players'!G9+'Field Players'!K9+'Field Players'!O9+'Field Players'!S9+'Field Players'!W9</f>
        <v>1</v>
      </c>
      <c r="D21" s="78">
        <f ca="1">'Field Players'!AB9+'Field Players'!AF9+'Field Players'!AJ9+'Field Players'!AN9+'Field Players'!AR9</f>
        <v>1.3636363636363638</v>
      </c>
      <c r="E21" s="146">
        <f>'Field Players'!AW9+'Field Players'!BA9+'Field Players'!BE9+'Field Players'!BI9+'Field Players'!BM9</f>
        <v>0</v>
      </c>
      <c r="F21" s="86">
        <f ca="1">'Field Players'!BR9+'Field Players'!BV9+'Field Players'!BZ9+'Field Players'!CD9+'Field Players'!CH9</f>
        <v>1.8181818181818186</v>
      </c>
      <c r="G21" s="80">
        <f>'Field Players'!CM9+'Field Players'!CQ9+'Field Players'!CU9+'Field Players'!CY9+'Field Players'!DC9</f>
        <v>1</v>
      </c>
      <c r="H21" s="79">
        <f>'Field Players'!DH9+'Field Players'!DL9+'Field Players'!DP9+'Field Players'!DT9+'Field Players'!DX9</f>
        <v>2</v>
      </c>
      <c r="I21" s="78">
        <f>'Field Players'!EC9+'Field Players'!EG9+'Field Players'!EK9+'Field Players'!EO9+'Field Players'!ES9</f>
        <v>3</v>
      </c>
      <c r="J21" s="80">
        <f>'Field Players'!EX9+'Field Players'!FB9+'Field Players'!FF9+'Field Players'!FJ9</f>
        <v>4</v>
      </c>
      <c r="K21" s="228">
        <f ca="1">SUM(C21:J21)</f>
        <v>14.181818181818183</v>
      </c>
    </row>
    <row r="22" spans="1:11" x14ac:dyDescent="0.2">
      <c r="A22" s="1" t="s">
        <v>54</v>
      </c>
      <c r="B22" s="1" t="s">
        <v>55</v>
      </c>
      <c r="C22" s="79">
        <f>'Field Players'!G20+'Field Players'!K20+'Field Players'!O20+'Field Players'!S20+'Field Players'!W20</f>
        <v>0</v>
      </c>
      <c r="D22" s="78">
        <f>'Field Players'!AB20+'Field Players'!AF20+'Field Players'!AJ20+'Field Players'!AN20+'Field Players'!AR20</f>
        <v>1</v>
      </c>
      <c r="E22" s="146">
        <f>'Field Players'!AW20+'Field Players'!BA20+'Field Players'!BE20+'Field Players'!BI20+'Field Players'!BM20</f>
        <v>3</v>
      </c>
      <c r="F22" s="78">
        <f>'Field Players'!BR20+'Field Players'!BV20+'Field Players'!BZ20+'Field Players'!CD20+'Field Players'!CH20</f>
        <v>2</v>
      </c>
      <c r="G22" s="80">
        <f>'Field Players'!CM20+'Field Players'!CQ20+'Field Players'!CU20+'Field Players'!CY20+'Field Players'!DC20</f>
        <v>3</v>
      </c>
      <c r="H22" s="79">
        <f>'Field Players'!DH20+'Field Players'!DL20+'Field Players'!DP20+'Field Players'!DT20+'Field Players'!DX20</f>
        <v>3</v>
      </c>
      <c r="I22" s="78">
        <f>'Field Players'!EC20+'Field Players'!EG20+'Field Players'!EK20+'Field Players'!EO20+'Field Players'!ES20</f>
        <v>2</v>
      </c>
      <c r="J22" s="80">
        <f>'Field Players'!EX20+'Field Players'!FB20+'Field Players'!FF20+'Field Players'!FJ20</f>
        <v>0</v>
      </c>
      <c r="K22" s="228">
        <f>SUM(C22:J22)</f>
        <v>14</v>
      </c>
    </row>
    <row r="23" spans="1:11" x14ac:dyDescent="0.2">
      <c r="A23" s="1" t="s">
        <v>52</v>
      </c>
      <c r="B23" s="1" t="s">
        <v>53</v>
      </c>
      <c r="C23" s="79">
        <f>'Field Players'!G19+'Field Players'!K19+'Field Players'!O19+'Field Players'!S19+'Field Players'!W19</f>
        <v>0</v>
      </c>
      <c r="D23" s="78">
        <f>'Field Players'!AB19+'Field Players'!AF19+'Field Players'!AJ19+'Field Players'!AN19+'Field Players'!AR19</f>
        <v>1</v>
      </c>
      <c r="E23" s="146">
        <f>'Field Players'!AW19+'Field Players'!BA19+'Field Players'!BE19+'Field Players'!BI19+'Field Players'!BM19</f>
        <v>1</v>
      </c>
      <c r="F23" s="78">
        <f>'Field Players'!BR19+'Field Players'!BV19+'Field Players'!BZ19+'Field Players'!CD19+'Field Players'!CH19</f>
        <v>2</v>
      </c>
      <c r="G23" s="80">
        <f>'Field Players'!CM19+'Field Players'!CQ19+'Field Players'!CU19+'Field Players'!CY19+'Field Players'!DC19</f>
        <v>4</v>
      </c>
      <c r="H23" s="79">
        <f>'Field Players'!DH19+'Field Players'!DL19+'Field Players'!DP19+'Field Players'!DT19+'Field Players'!DX19</f>
        <v>3</v>
      </c>
      <c r="I23" s="78">
        <f>'Field Players'!EC19+'Field Players'!EG19+'Field Players'!EK19+'Field Players'!EO19+'Field Players'!ES19</f>
        <v>2</v>
      </c>
      <c r="J23" s="80">
        <f>'Field Players'!EX19+'Field Players'!FB19+'Field Players'!FF19+'Field Players'!FJ19</f>
        <v>0</v>
      </c>
      <c r="K23" s="228">
        <f>SUM(C23:J23)</f>
        <v>13</v>
      </c>
    </row>
    <row r="24" spans="1:11" x14ac:dyDescent="0.2">
      <c r="A24" s="1" t="s">
        <v>56</v>
      </c>
      <c r="B24" s="1" t="s">
        <v>57</v>
      </c>
      <c r="C24" s="79">
        <f>'Field Players'!G21+'Field Players'!K21+'Field Players'!O21+'Field Players'!S21+'Field Players'!W21</f>
        <v>3</v>
      </c>
      <c r="D24" s="78">
        <f>'Field Players'!AB21+'Field Players'!AF21+'Field Players'!AJ21+'Field Players'!AN21+'Field Players'!AR21</f>
        <v>0</v>
      </c>
      <c r="E24" s="146">
        <f>'Field Players'!AW21+'Field Players'!BA21+'Field Players'!BE21+'Field Players'!BI21+'Field Players'!BM21</f>
        <v>1</v>
      </c>
      <c r="F24" s="86">
        <f ca="1">'Field Players'!BR21+'Field Players'!BV21+'Field Players'!BZ21+'Field Players'!CD21+'Field Players'!CH21</f>
        <v>1.6176470588235294</v>
      </c>
      <c r="G24" s="80">
        <f>'Field Players'!CM21+'Field Players'!CQ21+'Field Players'!CU21+'Field Players'!CY21+'Field Players'!DC21</f>
        <v>1</v>
      </c>
      <c r="H24" s="79">
        <f>'Field Players'!DH21+'Field Players'!DL21+'Field Players'!DP21+'Field Players'!DT21+'Field Players'!DX21</f>
        <v>4</v>
      </c>
      <c r="I24" s="78">
        <f>'Field Players'!EC21+'Field Players'!EG21+'Field Players'!EK21+'Field Players'!EO21+'Field Players'!ES21</f>
        <v>2</v>
      </c>
      <c r="J24" s="80">
        <f>'Field Players'!EX21+'Field Players'!FB21+'Field Players'!FF21+'Field Players'!FJ21</f>
        <v>0</v>
      </c>
      <c r="K24" s="228">
        <f ca="1">SUM(C24:J24)</f>
        <v>12.617647058823529</v>
      </c>
    </row>
    <row r="25" spans="1:11" x14ac:dyDescent="0.2">
      <c r="A25" s="1" t="s">
        <v>47</v>
      </c>
      <c r="B25" s="1" t="s">
        <v>48</v>
      </c>
      <c r="C25" s="79">
        <f>'Field Players'!G16+'Field Players'!K16+'Field Players'!O16+'Field Players'!S16+'Field Players'!W16</f>
        <v>1</v>
      </c>
      <c r="D25" s="78">
        <f>'Field Players'!AB16+'Field Players'!AF16+'Field Players'!AJ16+'Field Players'!AN16+'Field Players'!AR16</f>
        <v>1</v>
      </c>
      <c r="E25" s="146">
        <f>'Field Players'!AW16+'Field Players'!BA16+'Field Players'!BE16+'Field Players'!BI16+'Field Players'!BM16</f>
        <v>1</v>
      </c>
      <c r="F25" s="78">
        <f>'Field Players'!BR16+'Field Players'!BV16+'Field Players'!BZ16+'Field Players'!CD16+'Field Players'!CH16</f>
        <v>3</v>
      </c>
      <c r="G25" s="80">
        <f>'Field Players'!CM16+'Field Players'!CQ16+'Field Players'!CU16+'Field Players'!CY16+'Field Players'!DC16</f>
        <v>0</v>
      </c>
      <c r="H25" s="79">
        <f>'Field Players'!DH16+'Field Players'!DL16+'Field Players'!DP16+'Field Players'!DT16+'Field Players'!DX16</f>
        <v>3</v>
      </c>
      <c r="I25" s="78">
        <f>'Field Players'!EC16+'Field Players'!EG16+'Field Players'!EK16+'Field Players'!EO16+'Field Players'!ES16</f>
        <v>1</v>
      </c>
      <c r="J25" s="80">
        <f>'Field Players'!EX16+'Field Players'!FB16+'Field Players'!FF16+'Field Players'!FJ16</f>
        <v>2</v>
      </c>
      <c r="K25" s="228">
        <f>SUM(C25:J25)</f>
        <v>12</v>
      </c>
    </row>
    <row r="26" spans="1:11" x14ac:dyDescent="0.2">
      <c r="A26" s="1" t="s">
        <v>30</v>
      </c>
      <c r="B26" s="1" t="s">
        <v>31</v>
      </c>
      <c r="C26" s="79">
        <f>'Field Players'!G8+'Field Players'!K8+'Field Players'!O8+'Field Players'!S8+'Field Players'!W8</f>
        <v>1</v>
      </c>
      <c r="D26" s="181">
        <f ca="1">'Field Players'!AB8+'Field Players'!AF8+'Field Players'!AJ8+'Field Players'!AN8+'Field Players'!AR8</f>
        <v>0.2424242424242424</v>
      </c>
      <c r="E26" s="146">
        <f>'Field Players'!AW8+'Field Players'!BA8+'Field Players'!BE8+'Field Players'!BI8+'Field Players'!BM8</f>
        <v>1</v>
      </c>
      <c r="F26" s="181">
        <f>'Field Players'!BR8+'Field Players'!BV8+'Field Players'!BZ8+'Field Players'!CD8+'Field Players'!CH8</f>
        <v>3</v>
      </c>
      <c r="G26" s="175">
        <f ca="1">'Field Players'!CM8+'Field Players'!CQ8+'Field Players'!CU8+'Field Players'!CY8+'Field Players'!DC8</f>
        <v>1.2121212121212119</v>
      </c>
      <c r="H26" s="79">
        <f>'Field Players'!DH8+'Field Players'!DL8+'Field Players'!DP8+'Field Players'!DT8+'Field Players'!DX8</f>
        <v>1</v>
      </c>
      <c r="I26" s="78">
        <f>'Field Players'!EC8+'Field Players'!EG8+'Field Players'!EK8+'Field Players'!EO8+'Field Players'!ES8</f>
        <v>1</v>
      </c>
      <c r="J26" s="80">
        <f>'Field Players'!EX8+'Field Players'!FB8+'Field Players'!FF8+'Field Players'!FJ8</f>
        <v>1</v>
      </c>
      <c r="K26" s="228">
        <f ca="1">SUM(C26:J26)</f>
        <v>9.4545454545454533</v>
      </c>
    </row>
    <row r="27" spans="1:11" x14ac:dyDescent="0.2">
      <c r="A27" s="1" t="s">
        <v>37</v>
      </c>
      <c r="B27" s="1" t="s">
        <v>38</v>
      </c>
      <c r="C27" s="79">
        <f>'Field Players'!G11+'Field Players'!K11+'Field Players'!O11+'Field Players'!S11+'Field Players'!W11</f>
        <v>1</v>
      </c>
      <c r="D27" s="78">
        <f>'Field Players'!AB11+'Field Players'!AF11+'Field Players'!AJ11+'Field Players'!AN11+'Field Players'!AR11</f>
        <v>0</v>
      </c>
      <c r="E27" s="146">
        <f>'Field Players'!AW11+'Field Players'!BA11+'Field Players'!BE11+'Field Players'!BI11+'Field Players'!BM11</f>
        <v>4</v>
      </c>
      <c r="F27" s="78">
        <f>'Field Players'!BR11+'Field Players'!BV11+'Field Players'!BZ11+'Field Players'!CD11+'Field Players'!CH11</f>
        <v>2</v>
      </c>
      <c r="G27" s="80">
        <f>'Field Players'!CM11+'Field Players'!CQ11+'Field Players'!CU11+'Field Players'!CY11+'Field Players'!DC11</f>
        <v>1</v>
      </c>
      <c r="H27" s="79">
        <f>'Field Players'!DH11+'Field Players'!DL11+'Field Players'!DP11+'Field Players'!DT11+'Field Players'!DX11</f>
        <v>0</v>
      </c>
      <c r="I27" s="78">
        <f>'Field Players'!EC11+'Field Players'!EG11+'Field Players'!EK11+'Field Players'!EO11+'Field Players'!ES11</f>
        <v>0</v>
      </c>
      <c r="J27" s="80">
        <f>'Field Players'!EX11+'Field Players'!FB11+'Field Players'!FF11+'Field Players'!FJ11</f>
        <v>0</v>
      </c>
      <c r="K27" s="228">
        <f>SUM(C27:J27)</f>
        <v>8</v>
      </c>
    </row>
    <row r="28" spans="1:11" x14ac:dyDescent="0.2">
      <c r="A28" s="1" t="s">
        <v>80</v>
      </c>
      <c r="B28" s="1" t="s">
        <v>81</v>
      </c>
      <c r="C28" s="79">
        <f>'Field Players'!G33+'Field Players'!K33+'Field Players'!O33+'Field Players'!S33+'Field Players'!W33</f>
        <v>1</v>
      </c>
      <c r="D28" s="78">
        <f>'Field Players'!AB33+'Field Players'!AF33+'Field Players'!AJ33+'Field Players'!AN33+'Field Players'!AR33</f>
        <v>0</v>
      </c>
      <c r="E28" s="146">
        <f>'Field Players'!AW33+'Field Players'!BA33+'Field Players'!BE33+'Field Players'!BI33+'Field Players'!BM33</f>
        <v>0</v>
      </c>
      <c r="F28" s="78">
        <f>'Field Players'!BR33+'Field Players'!BV33+'Field Players'!BZ33+'Field Players'!CD33+'Field Players'!CH33</f>
        <v>0</v>
      </c>
      <c r="G28" s="80">
        <f>'Field Players'!CM33+'Field Players'!CQ33+'Field Players'!CU33+'Field Players'!CY33+'Field Players'!DC33</f>
        <v>1</v>
      </c>
      <c r="H28" s="79">
        <f>'Field Players'!DH33+'Field Players'!DL33+'Field Players'!DP33+'Field Players'!DT33+'Field Players'!DX33</f>
        <v>2</v>
      </c>
      <c r="I28" s="78">
        <f>'Field Players'!EC33+'Field Players'!EG33+'Field Players'!EK33+'Field Players'!EO33+'Field Players'!ES33</f>
        <v>3</v>
      </c>
      <c r="J28" s="80">
        <f>'Field Players'!EX33+'Field Players'!FB33+'Field Players'!FF33+'Field Players'!FJ33</f>
        <v>1</v>
      </c>
      <c r="K28" s="228">
        <f>SUM(C28:J28)</f>
        <v>8</v>
      </c>
    </row>
    <row r="29" spans="1:11" x14ac:dyDescent="0.2">
      <c r="A29" s="1" t="s">
        <v>84</v>
      </c>
      <c r="B29" s="1" t="s">
        <v>85</v>
      </c>
      <c r="C29" s="79">
        <f>'Field Players'!G35+'Field Players'!K35+'Field Players'!O35+'Field Players'!S35+'Field Players'!W35</f>
        <v>1</v>
      </c>
      <c r="D29" s="86">
        <f ca="1">'Field Players'!AB35+'Field Players'!AF35+'Field Players'!AJ35+'Field Players'!AN35+'Field Players'!AR35</f>
        <v>0.66666666666666663</v>
      </c>
      <c r="E29" s="176">
        <f ca="1">'Field Players'!AW35+'Field Players'!BA35+'Field Players'!BE35+'Field Players'!BI35+'Field Players'!BM35</f>
        <v>0.83333333333333326</v>
      </c>
      <c r="F29" s="78">
        <f>'Field Players'!BR35+'Field Players'!BV35+'Field Players'!BZ35+'Field Players'!CD35+'Field Players'!CH35</f>
        <v>1</v>
      </c>
      <c r="G29" s="80">
        <f>'Field Players'!CM35+'Field Players'!CQ35+'Field Players'!CU35+'Field Players'!CY35+'Field Players'!DC35</f>
        <v>1</v>
      </c>
      <c r="H29" s="79">
        <f>'Field Players'!DH35+'Field Players'!DL35+'Field Players'!DP35+'Field Players'!DT35+'Field Players'!DX35</f>
        <v>0</v>
      </c>
      <c r="I29" s="78">
        <f>'Field Players'!EC35+'Field Players'!EG35+'Field Players'!EK35+'Field Players'!EO35+'Field Players'!ES35</f>
        <v>2</v>
      </c>
      <c r="J29" s="80">
        <f>'Field Players'!EX35+'Field Players'!FB35+'Field Players'!FF35+'Field Players'!FJ35</f>
        <v>0</v>
      </c>
      <c r="K29" s="228">
        <f ca="1">SUM(C29:J29)</f>
        <v>6.5</v>
      </c>
    </row>
    <row r="30" spans="1:11" x14ac:dyDescent="0.2">
      <c r="A30" s="1" t="s">
        <v>72</v>
      </c>
      <c r="B30" s="1" t="s">
        <v>73</v>
      </c>
      <c r="C30" s="79">
        <f>'Field Players'!G29+'Field Players'!K29+'Field Players'!O29+'Field Players'!S29+'Field Players'!W29</f>
        <v>2</v>
      </c>
      <c r="D30" s="78">
        <f ca="1">'Field Players'!AB29+'Field Players'!AF29+'Field Players'!AJ29+'Field Players'!AN29+'Field Players'!AR29</f>
        <v>0.15151515151515149</v>
      </c>
      <c r="E30" s="147">
        <f>'Field Players'!AW29+'Field Players'!BA29+'Field Players'!BE29+'Field Players'!BI29+'Field Players'!BM29</f>
        <v>1</v>
      </c>
      <c r="F30" s="78">
        <f>'Field Players'!BR29+'Field Players'!BV29+'Field Players'!BZ29+'Field Players'!CD29+'Field Players'!CH29</f>
        <v>0</v>
      </c>
      <c r="G30" s="175">
        <f ca="1">'Field Players'!CM29+'Field Players'!CQ29+'Field Players'!CU29+'Field Players'!CY29+'Field Players'!DC29</f>
        <v>0.45454545454545447</v>
      </c>
      <c r="H30" s="79">
        <f ca="1">'Field Players'!DH29+'Field Players'!DL29+'Field Players'!DP29+'Field Players'!DT29+'Field Players'!DX29</f>
        <v>0.30303030303030298</v>
      </c>
      <c r="I30" s="78">
        <f>'Field Players'!EC29+'Field Players'!EG29+'Field Players'!EK29+'Field Players'!EO29+'Field Players'!ES29</f>
        <v>1</v>
      </c>
      <c r="J30" s="80">
        <f>'Field Players'!EX29+'Field Players'!FB29+'Field Players'!FF29+'Field Players'!FJ29</f>
        <v>1</v>
      </c>
      <c r="K30" s="228">
        <f ca="1">SUM(C30:J30)</f>
        <v>5.9090909090909092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363C-F728-427D-B04E-05D7984561E3}">
  <dimension ref="A1:FL20"/>
  <sheetViews>
    <sheetView zoomScale="90" zoomScaleNormal="90" workbookViewId="0">
      <selection activeCell="FM17" sqref="FM17"/>
    </sheetView>
  </sheetViews>
  <sheetFormatPr baseColWidth="10" defaultColWidth="8.83203125" defaultRowHeight="15" outlineLevelCol="1" x14ac:dyDescent="0.2"/>
  <cols>
    <col min="1" max="1" width="13.33203125" bestFit="1" customWidth="1"/>
    <col min="2" max="2" width="12.6640625" bestFit="1" customWidth="1"/>
    <col min="3" max="4" width="12.6640625" customWidth="1"/>
    <col min="5" max="24" width="8.83203125" hidden="1" customWidth="1" outlineLevel="1"/>
    <col min="25" max="25" width="12" bestFit="1" customWidth="1" collapsed="1"/>
    <col min="26" max="45" width="8.83203125" hidden="1" customWidth="1" outlineLevel="1"/>
    <col min="46" max="46" width="10.6640625" bestFit="1" customWidth="1" collapsed="1"/>
    <col min="47" max="66" width="8.83203125" hidden="1" customWidth="1" outlineLevel="1"/>
    <col min="67" max="67" width="10.6640625" bestFit="1" customWidth="1" collapsed="1"/>
    <col min="68" max="87" width="8.83203125" hidden="1" customWidth="1" outlineLevel="1"/>
    <col min="88" max="88" width="10.83203125" bestFit="1" customWidth="1" collapsed="1"/>
    <col min="89" max="108" width="8.83203125" hidden="1" customWidth="1" outlineLevel="1"/>
    <col min="109" max="109" width="10.83203125" bestFit="1" customWidth="1" collapsed="1"/>
    <col min="110" max="129" width="8.83203125" hidden="1" customWidth="1" outlineLevel="1"/>
    <col min="130" max="130" width="10.83203125" bestFit="1" customWidth="1" collapsed="1"/>
    <col min="131" max="150" width="8.83203125" hidden="1" customWidth="1" outlineLevel="1"/>
    <col min="151" max="151" width="10.83203125" bestFit="1" customWidth="1" collapsed="1"/>
    <col min="152" max="167" width="0" style="1" hidden="1" customWidth="1" outlineLevel="1"/>
    <col min="168" max="168" width="10.83203125" bestFit="1" customWidth="1" collapsed="1"/>
  </cols>
  <sheetData>
    <row r="1" spans="1:168" x14ac:dyDescent="0.2">
      <c r="A1" s="57" t="s">
        <v>0</v>
      </c>
      <c r="B1" s="57" t="s">
        <v>1</v>
      </c>
      <c r="E1" s="177" t="s">
        <v>2</v>
      </c>
      <c r="F1" s="178"/>
      <c r="G1" s="178"/>
      <c r="H1" s="179"/>
      <c r="I1" s="177" t="s">
        <v>3</v>
      </c>
      <c r="J1" s="178"/>
      <c r="K1" s="178"/>
      <c r="L1" s="179"/>
      <c r="M1" s="177" t="s">
        <v>4</v>
      </c>
      <c r="N1" s="178"/>
      <c r="O1" s="178"/>
      <c r="P1" s="179"/>
      <c r="Q1" s="177" t="s">
        <v>5</v>
      </c>
      <c r="R1" s="178"/>
      <c r="S1" s="178"/>
      <c r="T1" s="179"/>
      <c r="U1" s="177" t="s">
        <v>6</v>
      </c>
      <c r="V1" s="178"/>
      <c r="W1" s="178"/>
      <c r="X1" s="179"/>
      <c r="Y1" s="22"/>
      <c r="Z1" s="177" t="s">
        <v>2</v>
      </c>
      <c r="AA1" s="178"/>
      <c r="AB1" s="178"/>
      <c r="AC1" s="178"/>
      <c r="AD1" s="177" t="s">
        <v>3</v>
      </c>
      <c r="AE1" s="178"/>
      <c r="AF1" s="178"/>
      <c r="AG1" s="179"/>
      <c r="AH1" s="177" t="s">
        <v>4</v>
      </c>
      <c r="AI1" s="178"/>
      <c r="AJ1" s="178"/>
      <c r="AK1" s="178"/>
      <c r="AL1" s="177" t="s">
        <v>5</v>
      </c>
      <c r="AM1" s="178"/>
      <c r="AN1" s="178"/>
      <c r="AO1" s="179"/>
      <c r="AP1" s="177" t="s">
        <v>6</v>
      </c>
      <c r="AQ1" s="178"/>
      <c r="AR1" s="178"/>
      <c r="AS1" s="179"/>
      <c r="AT1" s="22"/>
      <c r="AU1" s="177" t="s">
        <v>2</v>
      </c>
      <c r="AV1" s="178"/>
      <c r="AW1" s="178"/>
      <c r="AX1" s="178"/>
      <c r="AY1" s="177" t="s">
        <v>3</v>
      </c>
      <c r="AZ1" s="178"/>
      <c r="BA1" s="178"/>
      <c r="BB1" s="179"/>
      <c r="BC1" s="177" t="s">
        <v>4</v>
      </c>
      <c r="BD1" s="178"/>
      <c r="BE1" s="178"/>
      <c r="BF1" s="178"/>
      <c r="BG1" s="177" t="s">
        <v>5</v>
      </c>
      <c r="BH1" s="178"/>
      <c r="BI1" s="178"/>
      <c r="BJ1" s="179"/>
      <c r="BK1" s="177" t="s">
        <v>6</v>
      </c>
      <c r="BL1" s="178"/>
      <c r="BM1" s="178"/>
      <c r="BN1" s="179"/>
      <c r="BO1" s="22"/>
      <c r="BP1" s="177" t="s">
        <v>2</v>
      </c>
      <c r="BQ1" s="178"/>
      <c r="BR1" s="178"/>
      <c r="BS1" s="178"/>
      <c r="BT1" s="177" t="s">
        <v>3</v>
      </c>
      <c r="BU1" s="178"/>
      <c r="BV1" s="178"/>
      <c r="BW1" s="179"/>
      <c r="BX1" s="177" t="s">
        <v>4</v>
      </c>
      <c r="BY1" s="178"/>
      <c r="BZ1" s="178"/>
      <c r="CA1" s="178"/>
      <c r="CB1" s="177" t="s">
        <v>5</v>
      </c>
      <c r="CC1" s="178"/>
      <c r="CD1" s="178"/>
      <c r="CE1" s="179"/>
      <c r="CF1" s="177" t="s">
        <v>6</v>
      </c>
      <c r="CG1" s="178"/>
      <c r="CH1" s="178"/>
      <c r="CI1" s="179"/>
      <c r="CJ1" s="22"/>
      <c r="CK1" s="177" t="s">
        <v>2</v>
      </c>
      <c r="CL1" s="178"/>
      <c r="CM1" s="178"/>
      <c r="CN1" s="178"/>
      <c r="CO1" s="177" t="s">
        <v>3</v>
      </c>
      <c r="CP1" s="178"/>
      <c r="CQ1" s="178"/>
      <c r="CR1" s="179"/>
      <c r="CS1" s="177" t="s">
        <v>4</v>
      </c>
      <c r="CT1" s="178"/>
      <c r="CU1" s="178"/>
      <c r="CV1" s="178"/>
      <c r="CW1" s="177" t="s">
        <v>5</v>
      </c>
      <c r="CX1" s="178"/>
      <c r="CY1" s="178"/>
      <c r="CZ1" s="179"/>
      <c r="DA1" s="177" t="s">
        <v>6</v>
      </c>
      <c r="DB1" s="178"/>
      <c r="DC1" s="178"/>
      <c r="DD1" s="179"/>
      <c r="DE1" s="22"/>
      <c r="DF1" s="177" t="s">
        <v>2</v>
      </c>
      <c r="DG1" s="178"/>
      <c r="DH1" s="178"/>
      <c r="DI1" s="178"/>
      <c r="DJ1" s="177" t="s">
        <v>3</v>
      </c>
      <c r="DK1" s="178"/>
      <c r="DL1" s="178"/>
      <c r="DM1" s="179"/>
      <c r="DN1" s="177" t="s">
        <v>4</v>
      </c>
      <c r="DO1" s="178"/>
      <c r="DP1" s="178"/>
      <c r="DQ1" s="178"/>
      <c r="DR1" s="177" t="s">
        <v>5</v>
      </c>
      <c r="DS1" s="178"/>
      <c r="DT1" s="178"/>
      <c r="DU1" s="179"/>
      <c r="DV1" s="177" t="s">
        <v>6</v>
      </c>
      <c r="DW1" s="178"/>
      <c r="DX1" s="178"/>
      <c r="DY1" s="179"/>
      <c r="DZ1" s="22"/>
      <c r="EA1" s="177" t="s">
        <v>2</v>
      </c>
      <c r="EB1" s="178"/>
      <c r="EC1" s="178"/>
      <c r="ED1" s="178"/>
      <c r="EE1" s="177" t="s">
        <v>3</v>
      </c>
      <c r="EF1" s="178"/>
      <c r="EG1" s="178"/>
      <c r="EH1" s="179"/>
      <c r="EI1" s="177" t="s">
        <v>4</v>
      </c>
      <c r="EJ1" s="178"/>
      <c r="EK1" s="178"/>
      <c r="EL1" s="178"/>
      <c r="EM1" s="177" t="s">
        <v>5</v>
      </c>
      <c r="EN1" s="178"/>
      <c r="EO1" s="178"/>
      <c r="EP1" s="179"/>
      <c r="EQ1" s="177" t="s">
        <v>6</v>
      </c>
      <c r="ER1" s="178"/>
      <c r="ES1" s="178"/>
      <c r="ET1" s="179"/>
      <c r="EU1" s="22"/>
      <c r="EV1" s="177" t="s">
        <v>2</v>
      </c>
      <c r="EW1" s="178"/>
      <c r="EX1" s="178"/>
      <c r="EY1" s="178"/>
      <c r="EZ1" s="177" t="s">
        <v>3</v>
      </c>
      <c r="FA1" s="178"/>
      <c r="FB1" s="178"/>
      <c r="FC1" s="179"/>
      <c r="FD1" s="177" t="s">
        <v>4</v>
      </c>
      <c r="FE1" s="178"/>
      <c r="FF1" s="178"/>
      <c r="FG1" s="178"/>
      <c r="FH1" s="207" t="s">
        <v>5</v>
      </c>
      <c r="FI1" s="208"/>
      <c r="FJ1" s="208"/>
      <c r="FK1" s="209"/>
      <c r="FL1" s="22"/>
    </row>
    <row r="2" spans="1:168" x14ac:dyDescent="0.2">
      <c r="A2" s="57" t="s">
        <v>7</v>
      </c>
      <c r="B2" s="57">
        <v>6</v>
      </c>
      <c r="E2" s="9" t="s">
        <v>8</v>
      </c>
      <c r="F2" s="10" t="s">
        <v>9</v>
      </c>
      <c r="G2" s="10" t="s">
        <v>8</v>
      </c>
      <c r="H2" s="10" t="s">
        <v>9</v>
      </c>
      <c r="I2" s="9" t="s">
        <v>8</v>
      </c>
      <c r="J2" s="10" t="s">
        <v>9</v>
      </c>
      <c r="K2" s="10" t="s">
        <v>8</v>
      </c>
      <c r="L2" s="10" t="s">
        <v>9</v>
      </c>
      <c r="M2" s="9" t="s">
        <v>8</v>
      </c>
      <c r="N2" s="10" t="s">
        <v>9</v>
      </c>
      <c r="O2" s="10" t="s">
        <v>8</v>
      </c>
      <c r="P2" s="10" t="s">
        <v>9</v>
      </c>
      <c r="Q2" s="9" t="s">
        <v>8</v>
      </c>
      <c r="R2" s="10" t="s">
        <v>9</v>
      </c>
      <c r="S2" s="10" t="s">
        <v>8</v>
      </c>
      <c r="T2" s="10" t="s">
        <v>9</v>
      </c>
      <c r="U2" s="9" t="s">
        <v>8</v>
      </c>
      <c r="V2" s="10" t="s">
        <v>9</v>
      </c>
      <c r="W2" s="10" t="s">
        <v>8</v>
      </c>
      <c r="X2" s="11" t="s">
        <v>9</v>
      </c>
      <c r="Y2" s="22"/>
      <c r="Z2" s="9" t="s">
        <v>8</v>
      </c>
      <c r="AA2" s="10" t="s">
        <v>9</v>
      </c>
      <c r="AB2" s="10" t="s">
        <v>8</v>
      </c>
      <c r="AC2" s="10" t="s">
        <v>9</v>
      </c>
      <c r="AD2" s="9" t="s">
        <v>8</v>
      </c>
      <c r="AE2" s="10" t="s">
        <v>9</v>
      </c>
      <c r="AF2" s="10" t="s">
        <v>8</v>
      </c>
      <c r="AG2" s="11" t="s">
        <v>9</v>
      </c>
      <c r="AH2" s="9" t="s">
        <v>8</v>
      </c>
      <c r="AI2" s="10" t="s">
        <v>9</v>
      </c>
      <c r="AJ2" s="10" t="s">
        <v>8</v>
      </c>
      <c r="AK2" s="10" t="s">
        <v>9</v>
      </c>
      <c r="AL2" s="9" t="s">
        <v>8</v>
      </c>
      <c r="AM2" s="10" t="s">
        <v>9</v>
      </c>
      <c r="AN2" s="10" t="s">
        <v>8</v>
      </c>
      <c r="AO2" s="11" t="s">
        <v>9</v>
      </c>
      <c r="AP2" s="9" t="s">
        <v>8</v>
      </c>
      <c r="AQ2" s="10" t="s">
        <v>9</v>
      </c>
      <c r="AR2" s="10" t="s">
        <v>8</v>
      </c>
      <c r="AS2" s="11" t="s">
        <v>9</v>
      </c>
      <c r="AT2" s="22"/>
      <c r="AU2" s="9" t="s">
        <v>8</v>
      </c>
      <c r="AV2" s="10" t="s">
        <v>9</v>
      </c>
      <c r="AW2" s="10" t="s">
        <v>8</v>
      </c>
      <c r="AX2" s="10" t="s">
        <v>9</v>
      </c>
      <c r="AY2" s="9" t="s">
        <v>8</v>
      </c>
      <c r="AZ2" s="10" t="s">
        <v>9</v>
      </c>
      <c r="BA2" s="10" t="s">
        <v>8</v>
      </c>
      <c r="BB2" s="11" t="s">
        <v>9</v>
      </c>
      <c r="BC2" s="9" t="s">
        <v>8</v>
      </c>
      <c r="BD2" s="10" t="s">
        <v>9</v>
      </c>
      <c r="BE2" s="10" t="s">
        <v>8</v>
      </c>
      <c r="BF2" s="10" t="s">
        <v>9</v>
      </c>
      <c r="BG2" s="9" t="s">
        <v>8</v>
      </c>
      <c r="BH2" s="10" t="s">
        <v>9</v>
      </c>
      <c r="BI2" s="10" t="s">
        <v>8</v>
      </c>
      <c r="BJ2" s="11" t="s">
        <v>9</v>
      </c>
      <c r="BK2" s="9" t="s">
        <v>8</v>
      </c>
      <c r="BL2" s="10" t="s">
        <v>9</v>
      </c>
      <c r="BM2" s="10" t="s">
        <v>8</v>
      </c>
      <c r="BN2" s="11" t="s">
        <v>9</v>
      </c>
      <c r="BO2" s="22"/>
      <c r="BP2" s="9" t="s">
        <v>8</v>
      </c>
      <c r="BQ2" s="10" t="s">
        <v>9</v>
      </c>
      <c r="BR2" s="10" t="s">
        <v>8</v>
      </c>
      <c r="BS2" s="10" t="s">
        <v>9</v>
      </c>
      <c r="BT2" s="9" t="s">
        <v>8</v>
      </c>
      <c r="BU2" s="10" t="s">
        <v>9</v>
      </c>
      <c r="BV2" s="10" t="s">
        <v>8</v>
      </c>
      <c r="BW2" s="11" t="s">
        <v>9</v>
      </c>
      <c r="BX2" s="9" t="s">
        <v>8</v>
      </c>
      <c r="BY2" s="10" t="s">
        <v>9</v>
      </c>
      <c r="BZ2" s="10" t="s">
        <v>8</v>
      </c>
      <c r="CA2" s="10" t="s">
        <v>9</v>
      </c>
      <c r="CB2" s="9" t="s">
        <v>8</v>
      </c>
      <c r="CC2" s="10" t="s">
        <v>9</v>
      </c>
      <c r="CD2" s="10" t="s">
        <v>8</v>
      </c>
      <c r="CE2" s="11" t="s">
        <v>9</v>
      </c>
      <c r="CF2" s="9" t="s">
        <v>8</v>
      </c>
      <c r="CG2" s="10" t="s">
        <v>9</v>
      </c>
      <c r="CH2" s="10" t="s">
        <v>8</v>
      </c>
      <c r="CI2" s="11" t="s">
        <v>9</v>
      </c>
      <c r="CJ2" s="22"/>
      <c r="CK2" s="9" t="s">
        <v>8</v>
      </c>
      <c r="CL2" s="10" t="s">
        <v>9</v>
      </c>
      <c r="CM2" s="10" t="s">
        <v>8</v>
      </c>
      <c r="CN2" s="10" t="s">
        <v>9</v>
      </c>
      <c r="CO2" s="9" t="s">
        <v>8</v>
      </c>
      <c r="CP2" s="10" t="s">
        <v>9</v>
      </c>
      <c r="CQ2" s="10" t="s">
        <v>8</v>
      </c>
      <c r="CR2" s="11" t="s">
        <v>9</v>
      </c>
      <c r="CS2" s="9" t="s">
        <v>8</v>
      </c>
      <c r="CT2" s="10" t="s">
        <v>9</v>
      </c>
      <c r="CU2" s="10" t="s">
        <v>8</v>
      </c>
      <c r="CV2" s="10" t="s">
        <v>9</v>
      </c>
      <c r="CW2" s="9" t="s">
        <v>8</v>
      </c>
      <c r="CX2" s="10" t="s">
        <v>9</v>
      </c>
      <c r="CY2" s="10" t="s">
        <v>8</v>
      </c>
      <c r="CZ2" s="11" t="s">
        <v>9</v>
      </c>
      <c r="DA2" s="9" t="s">
        <v>8</v>
      </c>
      <c r="DB2" s="10" t="s">
        <v>9</v>
      </c>
      <c r="DC2" s="10" t="s">
        <v>8</v>
      </c>
      <c r="DD2" s="11" t="s">
        <v>9</v>
      </c>
      <c r="DE2" s="22"/>
      <c r="DF2" s="9" t="s">
        <v>8</v>
      </c>
      <c r="DG2" s="10" t="s">
        <v>9</v>
      </c>
      <c r="DH2" s="10" t="s">
        <v>8</v>
      </c>
      <c r="DI2" s="10" t="s">
        <v>9</v>
      </c>
      <c r="DJ2" s="9" t="s">
        <v>8</v>
      </c>
      <c r="DK2" s="10" t="s">
        <v>9</v>
      </c>
      <c r="DL2" s="10" t="s">
        <v>8</v>
      </c>
      <c r="DM2" s="11" t="s">
        <v>9</v>
      </c>
      <c r="DN2" s="9" t="s">
        <v>8</v>
      </c>
      <c r="DO2" s="10" t="s">
        <v>9</v>
      </c>
      <c r="DP2" s="10" t="s">
        <v>8</v>
      </c>
      <c r="DQ2" s="10" t="s">
        <v>9</v>
      </c>
      <c r="DR2" s="9" t="s">
        <v>8</v>
      </c>
      <c r="DS2" s="10" t="s">
        <v>9</v>
      </c>
      <c r="DT2" s="10" t="s">
        <v>8</v>
      </c>
      <c r="DU2" s="11" t="s">
        <v>9</v>
      </c>
      <c r="DV2" s="9" t="s">
        <v>8</v>
      </c>
      <c r="DW2" s="10" t="s">
        <v>9</v>
      </c>
      <c r="DX2" s="10" t="s">
        <v>8</v>
      </c>
      <c r="DY2" s="11" t="s">
        <v>9</v>
      </c>
      <c r="DZ2" s="22"/>
      <c r="EA2" s="9" t="s">
        <v>8</v>
      </c>
      <c r="EB2" s="10" t="s">
        <v>9</v>
      </c>
      <c r="EC2" s="10" t="s">
        <v>8</v>
      </c>
      <c r="ED2" s="10" t="s">
        <v>9</v>
      </c>
      <c r="EE2" s="9" t="s">
        <v>8</v>
      </c>
      <c r="EF2" s="10" t="s">
        <v>9</v>
      </c>
      <c r="EG2" s="10" t="s">
        <v>8</v>
      </c>
      <c r="EH2" s="11" t="s">
        <v>9</v>
      </c>
      <c r="EI2" s="9" t="s">
        <v>8</v>
      </c>
      <c r="EJ2" s="10" t="s">
        <v>9</v>
      </c>
      <c r="EK2" s="10" t="s">
        <v>8</v>
      </c>
      <c r="EL2" s="10" t="s">
        <v>9</v>
      </c>
      <c r="EM2" s="9" t="s">
        <v>8</v>
      </c>
      <c r="EN2" s="10" t="s">
        <v>9</v>
      </c>
      <c r="EO2" s="10" t="s">
        <v>8</v>
      </c>
      <c r="EP2" s="11" t="s">
        <v>9</v>
      </c>
      <c r="EQ2" s="9" t="s">
        <v>8</v>
      </c>
      <c r="ER2" s="10" t="s">
        <v>9</v>
      </c>
      <c r="ES2" s="10" t="s">
        <v>8</v>
      </c>
      <c r="ET2" s="11" t="s">
        <v>9</v>
      </c>
      <c r="EU2" s="22"/>
      <c r="EV2" s="9" t="s">
        <v>8</v>
      </c>
      <c r="EW2" s="10" t="s">
        <v>9</v>
      </c>
      <c r="EX2" s="10" t="s">
        <v>8</v>
      </c>
      <c r="EY2" s="10" t="s">
        <v>9</v>
      </c>
      <c r="EZ2" s="9" t="s">
        <v>8</v>
      </c>
      <c r="FA2" s="10" t="s">
        <v>9</v>
      </c>
      <c r="FB2" s="10" t="s">
        <v>8</v>
      </c>
      <c r="FC2" s="11" t="s">
        <v>9</v>
      </c>
      <c r="FD2" s="9" t="s">
        <v>8</v>
      </c>
      <c r="FE2" s="10" t="s">
        <v>9</v>
      </c>
      <c r="FF2" s="10" t="s">
        <v>8</v>
      </c>
      <c r="FG2" s="10" t="s">
        <v>9</v>
      </c>
      <c r="FH2" s="210" t="s">
        <v>8</v>
      </c>
      <c r="FI2" s="204" t="s">
        <v>9</v>
      </c>
      <c r="FJ2" s="204" t="s">
        <v>8</v>
      </c>
      <c r="FK2" s="211" t="s">
        <v>9</v>
      </c>
      <c r="FL2" s="22"/>
    </row>
    <row r="3" spans="1:168" x14ac:dyDescent="0.2">
      <c r="A3" s="57" t="s">
        <v>10</v>
      </c>
      <c r="B3" s="57">
        <v>2</v>
      </c>
      <c r="E3" s="25" t="s">
        <v>11</v>
      </c>
      <c r="F3" s="25">
        <v>1</v>
      </c>
      <c r="G3" s="25" t="s">
        <v>12</v>
      </c>
      <c r="H3" s="25">
        <v>6</v>
      </c>
      <c r="I3" s="25" t="s">
        <v>11</v>
      </c>
      <c r="J3" s="25">
        <v>2</v>
      </c>
      <c r="K3" s="25" t="s">
        <v>12</v>
      </c>
      <c r="L3" s="25">
        <v>7</v>
      </c>
      <c r="M3" s="25" t="s">
        <v>11</v>
      </c>
      <c r="N3" s="25">
        <v>0</v>
      </c>
      <c r="O3" s="25" t="s">
        <v>12</v>
      </c>
      <c r="P3" s="25">
        <v>4</v>
      </c>
      <c r="Q3" s="25" t="s">
        <v>11</v>
      </c>
      <c r="R3" s="25">
        <v>2</v>
      </c>
      <c r="S3" s="25" t="s">
        <v>12</v>
      </c>
      <c r="T3" s="25">
        <v>5</v>
      </c>
      <c r="U3" s="25" t="s">
        <v>11</v>
      </c>
      <c r="V3" s="25">
        <v>6</v>
      </c>
      <c r="W3" s="25" t="s">
        <v>12</v>
      </c>
      <c r="X3" s="25">
        <v>0</v>
      </c>
      <c r="Y3" s="22"/>
      <c r="Z3" s="25" t="s">
        <v>11</v>
      </c>
      <c r="AA3" s="25">
        <v>3</v>
      </c>
      <c r="AB3" s="25" t="s">
        <v>12</v>
      </c>
      <c r="AC3" s="25">
        <v>5</v>
      </c>
      <c r="AD3" s="25" t="s">
        <v>11</v>
      </c>
      <c r="AE3" s="25">
        <v>3</v>
      </c>
      <c r="AF3" s="25" t="s">
        <v>12</v>
      </c>
      <c r="AG3" s="25">
        <v>1</v>
      </c>
      <c r="AH3" s="25" t="s">
        <v>11</v>
      </c>
      <c r="AI3" s="25">
        <v>3</v>
      </c>
      <c r="AJ3" s="25" t="s">
        <v>12</v>
      </c>
      <c r="AK3" s="25">
        <v>3</v>
      </c>
      <c r="AL3" s="25" t="s">
        <v>11</v>
      </c>
      <c r="AM3" s="25">
        <v>5</v>
      </c>
      <c r="AN3" s="25" t="s">
        <v>12</v>
      </c>
      <c r="AO3" s="25">
        <v>1</v>
      </c>
      <c r="AP3" s="25" t="s">
        <v>11</v>
      </c>
      <c r="AQ3" s="25">
        <v>3</v>
      </c>
      <c r="AR3" s="25" t="s">
        <v>12</v>
      </c>
      <c r="AS3" s="25">
        <v>9</v>
      </c>
      <c r="AT3" s="22"/>
      <c r="AU3" s="25" t="s">
        <v>11</v>
      </c>
      <c r="AV3" s="25">
        <v>4</v>
      </c>
      <c r="AW3" s="25" t="s">
        <v>12</v>
      </c>
      <c r="AX3" s="25">
        <v>5</v>
      </c>
      <c r="AY3" s="25" t="s">
        <v>11</v>
      </c>
      <c r="AZ3" s="25">
        <v>6</v>
      </c>
      <c r="BA3" s="25" t="s">
        <v>12</v>
      </c>
      <c r="BB3" s="25">
        <v>6</v>
      </c>
      <c r="BC3" s="25" t="s">
        <v>11</v>
      </c>
      <c r="BD3" s="25">
        <v>4</v>
      </c>
      <c r="BE3" s="25" t="s">
        <v>12</v>
      </c>
      <c r="BF3" s="25">
        <v>2</v>
      </c>
      <c r="BG3" s="25" t="s">
        <v>11</v>
      </c>
      <c r="BH3" s="25">
        <v>4</v>
      </c>
      <c r="BI3" s="25" t="s">
        <v>12</v>
      </c>
      <c r="BJ3" s="25">
        <v>2</v>
      </c>
      <c r="BK3" s="25" t="s">
        <v>11</v>
      </c>
      <c r="BL3" s="25">
        <v>7</v>
      </c>
      <c r="BM3" s="25" t="s">
        <v>12</v>
      </c>
      <c r="BN3" s="25">
        <v>1</v>
      </c>
      <c r="BO3" s="22"/>
      <c r="BP3" s="8" t="s">
        <v>11</v>
      </c>
      <c r="BQ3" s="8">
        <v>3</v>
      </c>
      <c r="BR3" s="8" t="s">
        <v>12</v>
      </c>
      <c r="BS3" s="8">
        <v>4</v>
      </c>
      <c r="BT3" s="8" t="s">
        <v>11</v>
      </c>
      <c r="BU3" s="8">
        <v>7</v>
      </c>
      <c r="BV3" s="8" t="s">
        <v>12</v>
      </c>
      <c r="BW3" s="8">
        <v>4</v>
      </c>
      <c r="BX3" s="8" t="s">
        <v>11</v>
      </c>
      <c r="BY3" s="8">
        <v>4</v>
      </c>
      <c r="BZ3" s="8" t="s">
        <v>12</v>
      </c>
      <c r="CA3" s="8">
        <v>7</v>
      </c>
      <c r="CB3" s="8" t="s">
        <v>11</v>
      </c>
      <c r="CC3" s="8">
        <v>8</v>
      </c>
      <c r="CD3" s="8" t="s">
        <v>12</v>
      </c>
      <c r="CE3" s="8">
        <v>2</v>
      </c>
      <c r="CF3" s="8" t="s">
        <v>11</v>
      </c>
      <c r="CG3" s="8">
        <v>3</v>
      </c>
      <c r="CH3" s="8" t="s">
        <v>12</v>
      </c>
      <c r="CI3" s="8">
        <v>2</v>
      </c>
      <c r="CJ3" s="22"/>
      <c r="CK3" s="8" t="s">
        <v>11</v>
      </c>
      <c r="CL3" s="8">
        <v>1</v>
      </c>
      <c r="CM3" s="8" t="s">
        <v>12</v>
      </c>
      <c r="CN3" s="8">
        <v>4</v>
      </c>
      <c r="CO3" s="8" t="s">
        <v>11</v>
      </c>
      <c r="CP3" s="8">
        <v>1</v>
      </c>
      <c r="CQ3" s="8" t="s">
        <v>12</v>
      </c>
      <c r="CR3" s="8">
        <v>4</v>
      </c>
      <c r="CS3" s="8" t="s">
        <v>11</v>
      </c>
      <c r="CT3" s="8">
        <v>5</v>
      </c>
      <c r="CU3" s="8" t="s">
        <v>12</v>
      </c>
      <c r="CV3" s="8">
        <v>5</v>
      </c>
      <c r="CW3" s="8" t="s">
        <v>11</v>
      </c>
      <c r="CX3" s="8">
        <v>5</v>
      </c>
      <c r="CY3" s="8" t="s">
        <v>12</v>
      </c>
      <c r="CZ3" s="8">
        <v>2</v>
      </c>
      <c r="DA3" s="8" t="s">
        <v>11</v>
      </c>
      <c r="DB3" s="8">
        <v>6</v>
      </c>
      <c r="DC3" s="8" t="s">
        <v>12</v>
      </c>
      <c r="DD3" s="8">
        <v>2</v>
      </c>
      <c r="DE3" s="22"/>
      <c r="DF3" s="25" t="s">
        <v>11</v>
      </c>
      <c r="DG3" s="25">
        <v>3</v>
      </c>
      <c r="DH3" s="25" t="s">
        <v>12</v>
      </c>
      <c r="DI3" s="25">
        <v>5</v>
      </c>
      <c r="DJ3" s="25" t="s">
        <v>11</v>
      </c>
      <c r="DK3" s="25">
        <v>10</v>
      </c>
      <c r="DL3" s="25" t="s">
        <v>12</v>
      </c>
      <c r="DM3" s="25">
        <v>4</v>
      </c>
      <c r="DN3" s="25" t="s">
        <v>11</v>
      </c>
      <c r="DO3" s="25">
        <v>4</v>
      </c>
      <c r="DP3" s="25" t="s">
        <v>12</v>
      </c>
      <c r="DQ3" s="25">
        <v>2</v>
      </c>
      <c r="DR3" s="25" t="s">
        <v>11</v>
      </c>
      <c r="DS3" s="25">
        <v>6</v>
      </c>
      <c r="DT3" s="25" t="s">
        <v>12</v>
      </c>
      <c r="DU3" s="25">
        <v>3</v>
      </c>
      <c r="DV3" s="25" t="s">
        <v>11</v>
      </c>
      <c r="DW3" s="25">
        <v>3</v>
      </c>
      <c r="DX3" s="25" t="s">
        <v>12</v>
      </c>
      <c r="DY3" s="25">
        <v>6</v>
      </c>
      <c r="DZ3" s="22"/>
      <c r="EA3" s="25" t="s">
        <v>11</v>
      </c>
      <c r="EB3" s="25">
        <v>8</v>
      </c>
      <c r="EC3" s="25" t="s">
        <v>12</v>
      </c>
      <c r="ED3" s="25">
        <v>8</v>
      </c>
      <c r="EE3" s="25" t="s">
        <v>11</v>
      </c>
      <c r="EF3" s="25">
        <v>5</v>
      </c>
      <c r="EG3" s="25" t="s">
        <v>12</v>
      </c>
      <c r="EH3" s="25">
        <v>1</v>
      </c>
      <c r="EI3" s="25" t="s">
        <v>11</v>
      </c>
      <c r="EJ3" s="25">
        <v>2</v>
      </c>
      <c r="EK3" s="25" t="s">
        <v>12</v>
      </c>
      <c r="EL3" s="25">
        <v>1</v>
      </c>
      <c r="EM3" s="25" t="s">
        <v>11</v>
      </c>
      <c r="EN3" s="25">
        <v>1</v>
      </c>
      <c r="EO3" s="25" t="s">
        <v>12</v>
      </c>
      <c r="EP3" s="25">
        <v>6</v>
      </c>
      <c r="EQ3" s="25" t="s">
        <v>11</v>
      </c>
      <c r="ER3" s="25">
        <v>3</v>
      </c>
      <c r="ES3" s="25" t="s">
        <v>12</v>
      </c>
      <c r="ET3" s="25">
        <v>5</v>
      </c>
      <c r="EU3" s="22"/>
      <c r="EV3" s="25" t="s">
        <v>11</v>
      </c>
      <c r="EW3" s="25">
        <v>1</v>
      </c>
      <c r="EX3" s="25" t="s">
        <v>12</v>
      </c>
      <c r="EY3" s="25">
        <v>5</v>
      </c>
      <c r="EZ3" s="25" t="s">
        <v>11</v>
      </c>
      <c r="FA3" s="25">
        <v>4</v>
      </c>
      <c r="FB3" s="25" t="s">
        <v>12</v>
      </c>
      <c r="FC3" s="25">
        <v>0</v>
      </c>
      <c r="FD3" s="25" t="s">
        <v>11</v>
      </c>
      <c r="FE3" s="25">
        <v>6</v>
      </c>
      <c r="FF3" s="25" t="s">
        <v>12</v>
      </c>
      <c r="FG3" s="205">
        <v>1</v>
      </c>
      <c r="FH3" s="212" t="s">
        <v>11</v>
      </c>
      <c r="FI3" s="25">
        <v>2</v>
      </c>
      <c r="FJ3" s="25" t="s">
        <v>12</v>
      </c>
      <c r="FK3" s="213">
        <v>6</v>
      </c>
      <c r="FL3" s="22"/>
    </row>
    <row r="4" spans="1:168" x14ac:dyDescent="0.2">
      <c r="A4" s="57" t="s">
        <v>13</v>
      </c>
      <c r="B4" s="57">
        <v>0</v>
      </c>
      <c r="E4" s="25" t="s">
        <v>14</v>
      </c>
      <c r="F4" s="25">
        <v>3</v>
      </c>
      <c r="G4" s="25" t="s">
        <v>15</v>
      </c>
      <c r="H4" s="25">
        <v>1</v>
      </c>
      <c r="I4" s="25" t="s">
        <v>14</v>
      </c>
      <c r="J4" s="25">
        <v>7</v>
      </c>
      <c r="K4" s="25" t="s">
        <v>15</v>
      </c>
      <c r="L4" s="25">
        <v>1</v>
      </c>
      <c r="M4" s="25" t="s">
        <v>14</v>
      </c>
      <c r="N4" s="25">
        <v>4</v>
      </c>
      <c r="O4" s="25" t="s">
        <v>15</v>
      </c>
      <c r="P4" s="25">
        <v>2</v>
      </c>
      <c r="Q4" s="25" t="s">
        <v>14</v>
      </c>
      <c r="R4" s="25">
        <v>3</v>
      </c>
      <c r="S4" s="25" t="s">
        <v>15</v>
      </c>
      <c r="T4" s="25">
        <v>6</v>
      </c>
      <c r="U4" s="25" t="s">
        <v>14</v>
      </c>
      <c r="V4" s="25">
        <v>5</v>
      </c>
      <c r="W4" s="25" t="s">
        <v>15</v>
      </c>
      <c r="X4" s="25">
        <v>3</v>
      </c>
      <c r="Y4" s="22"/>
      <c r="Z4" s="25" t="s">
        <v>14</v>
      </c>
      <c r="AA4" s="25">
        <v>3</v>
      </c>
      <c r="AB4" s="25" t="s">
        <v>15</v>
      </c>
      <c r="AC4" s="25">
        <v>5</v>
      </c>
      <c r="AD4" s="25" t="s">
        <v>14</v>
      </c>
      <c r="AE4" s="25">
        <v>4</v>
      </c>
      <c r="AF4" s="25" t="s">
        <v>15</v>
      </c>
      <c r="AG4" s="25">
        <v>6</v>
      </c>
      <c r="AH4" s="25" t="s">
        <v>14</v>
      </c>
      <c r="AI4" s="25">
        <v>1</v>
      </c>
      <c r="AJ4" s="25" t="s">
        <v>15</v>
      </c>
      <c r="AK4" s="25">
        <v>3</v>
      </c>
      <c r="AL4" s="25" t="s">
        <v>14</v>
      </c>
      <c r="AM4" s="25">
        <v>4</v>
      </c>
      <c r="AN4" s="25" t="s">
        <v>15</v>
      </c>
      <c r="AO4" s="25">
        <v>4</v>
      </c>
      <c r="AP4" s="25" t="s">
        <v>14</v>
      </c>
      <c r="AQ4" s="25">
        <v>5</v>
      </c>
      <c r="AR4" s="25" t="s">
        <v>15</v>
      </c>
      <c r="AS4" s="25">
        <v>3</v>
      </c>
      <c r="AT4" s="22"/>
      <c r="AU4" s="25" t="s">
        <v>14</v>
      </c>
      <c r="AV4" s="25">
        <v>5</v>
      </c>
      <c r="AW4" s="25" t="s">
        <v>15</v>
      </c>
      <c r="AX4" s="25">
        <v>1</v>
      </c>
      <c r="AY4" s="25" t="s">
        <v>14</v>
      </c>
      <c r="AZ4" s="25">
        <v>8</v>
      </c>
      <c r="BA4" s="25" t="s">
        <v>15</v>
      </c>
      <c r="BB4" s="25">
        <v>0</v>
      </c>
      <c r="BC4" s="25" t="s">
        <v>14</v>
      </c>
      <c r="BD4" s="25">
        <v>2</v>
      </c>
      <c r="BE4" s="25" t="s">
        <v>15</v>
      </c>
      <c r="BF4" s="25">
        <v>2</v>
      </c>
      <c r="BG4" s="25" t="s">
        <v>14</v>
      </c>
      <c r="BH4" s="25">
        <v>6</v>
      </c>
      <c r="BI4" s="25" t="s">
        <v>15</v>
      </c>
      <c r="BJ4" s="25">
        <v>3</v>
      </c>
      <c r="BK4" s="25" t="s">
        <v>14</v>
      </c>
      <c r="BL4" s="25">
        <v>5</v>
      </c>
      <c r="BM4" s="25" t="s">
        <v>15</v>
      </c>
      <c r="BN4" s="25">
        <v>6</v>
      </c>
      <c r="BO4" s="22"/>
      <c r="BP4" s="8" t="s">
        <v>14</v>
      </c>
      <c r="BQ4" s="8">
        <v>5</v>
      </c>
      <c r="BR4" s="8" t="s">
        <v>15</v>
      </c>
      <c r="BS4" s="8">
        <v>1</v>
      </c>
      <c r="BT4" s="8" t="s">
        <v>14</v>
      </c>
      <c r="BU4" s="8">
        <v>5</v>
      </c>
      <c r="BV4" s="8" t="s">
        <v>15</v>
      </c>
      <c r="BW4" s="8">
        <v>1</v>
      </c>
      <c r="BX4" s="8" t="s">
        <v>14</v>
      </c>
      <c r="BY4" s="8">
        <v>5</v>
      </c>
      <c r="BZ4" s="8" t="s">
        <v>15</v>
      </c>
      <c r="CA4" s="8">
        <v>7</v>
      </c>
      <c r="CB4" s="8" t="s">
        <v>14</v>
      </c>
      <c r="CC4" s="8">
        <v>0</v>
      </c>
      <c r="CD4" s="8" t="s">
        <v>15</v>
      </c>
      <c r="CE4" s="8">
        <v>7</v>
      </c>
      <c r="CF4" s="8" t="s">
        <v>14</v>
      </c>
      <c r="CG4" s="8">
        <v>0</v>
      </c>
      <c r="CH4" s="8" t="s">
        <v>15</v>
      </c>
      <c r="CI4" s="8">
        <v>1</v>
      </c>
      <c r="CJ4" s="22"/>
      <c r="CK4" s="8" t="s">
        <v>14</v>
      </c>
      <c r="CL4" s="8">
        <v>2</v>
      </c>
      <c r="CM4" s="8" t="s">
        <v>15</v>
      </c>
      <c r="CN4" s="8">
        <v>4</v>
      </c>
      <c r="CO4" s="8" t="s">
        <v>14</v>
      </c>
      <c r="CP4" s="8">
        <v>1</v>
      </c>
      <c r="CQ4" s="8" t="s">
        <v>15</v>
      </c>
      <c r="CR4" s="8">
        <v>2</v>
      </c>
      <c r="CS4" s="8" t="s">
        <v>14</v>
      </c>
      <c r="CT4" s="8">
        <v>2</v>
      </c>
      <c r="CU4" s="8" t="s">
        <v>15</v>
      </c>
      <c r="CV4" s="8">
        <v>4</v>
      </c>
      <c r="CW4" s="8" t="s">
        <v>14</v>
      </c>
      <c r="CX4" s="8">
        <v>9</v>
      </c>
      <c r="CY4" s="8" t="s">
        <v>15</v>
      </c>
      <c r="CZ4" s="8">
        <v>2</v>
      </c>
      <c r="DA4" s="8" t="s">
        <v>14</v>
      </c>
      <c r="DB4" s="8">
        <v>6</v>
      </c>
      <c r="DC4" s="8" t="s">
        <v>15</v>
      </c>
      <c r="DD4" s="8">
        <v>6</v>
      </c>
      <c r="DE4" s="22"/>
      <c r="DF4" s="25" t="s">
        <v>14</v>
      </c>
      <c r="DG4" s="25">
        <v>4</v>
      </c>
      <c r="DH4" s="25" t="s">
        <v>15</v>
      </c>
      <c r="DI4" s="25">
        <v>5</v>
      </c>
      <c r="DJ4" s="25" t="s">
        <v>14</v>
      </c>
      <c r="DK4" s="25">
        <v>3</v>
      </c>
      <c r="DL4" s="25" t="s">
        <v>15</v>
      </c>
      <c r="DM4" s="25">
        <v>4</v>
      </c>
      <c r="DN4" s="25" t="s">
        <v>14</v>
      </c>
      <c r="DO4" s="25">
        <v>5</v>
      </c>
      <c r="DP4" s="25" t="s">
        <v>15</v>
      </c>
      <c r="DQ4" s="25">
        <v>3</v>
      </c>
      <c r="DR4" s="25" t="s">
        <v>14</v>
      </c>
      <c r="DS4" s="25">
        <v>2</v>
      </c>
      <c r="DT4" s="25" t="s">
        <v>15</v>
      </c>
      <c r="DU4" s="25">
        <v>4</v>
      </c>
      <c r="DV4" s="25" t="s">
        <v>14</v>
      </c>
      <c r="DW4" s="25">
        <v>7</v>
      </c>
      <c r="DX4" s="25" t="s">
        <v>15</v>
      </c>
      <c r="DY4" s="25">
        <v>4</v>
      </c>
      <c r="DZ4" s="22"/>
      <c r="EA4" s="25" t="s">
        <v>14</v>
      </c>
      <c r="EB4" s="25">
        <v>4</v>
      </c>
      <c r="EC4" s="25" t="s">
        <v>15</v>
      </c>
      <c r="ED4" s="25">
        <v>4</v>
      </c>
      <c r="EE4" s="25" t="s">
        <v>14</v>
      </c>
      <c r="EF4" s="25">
        <v>2</v>
      </c>
      <c r="EG4" s="25" t="s">
        <v>15</v>
      </c>
      <c r="EH4" s="25">
        <v>5</v>
      </c>
      <c r="EI4" s="25" t="s">
        <v>14</v>
      </c>
      <c r="EJ4" s="25">
        <v>2</v>
      </c>
      <c r="EK4" s="25" t="s">
        <v>15</v>
      </c>
      <c r="EL4" s="25">
        <v>5</v>
      </c>
      <c r="EM4" s="25" t="s">
        <v>14</v>
      </c>
      <c r="EN4" s="25">
        <v>2</v>
      </c>
      <c r="EO4" s="25" t="s">
        <v>15</v>
      </c>
      <c r="EP4" s="25">
        <v>2</v>
      </c>
      <c r="EQ4" s="25" t="s">
        <v>14</v>
      </c>
      <c r="ER4" s="25">
        <v>1</v>
      </c>
      <c r="ES4" s="25" t="s">
        <v>15</v>
      </c>
      <c r="ET4" s="25">
        <v>6</v>
      </c>
      <c r="EU4" s="22"/>
      <c r="EV4" s="25" t="s">
        <v>14</v>
      </c>
      <c r="EW4" s="25">
        <v>4</v>
      </c>
      <c r="EX4" s="25" t="s">
        <v>15</v>
      </c>
      <c r="EY4" s="25">
        <v>4</v>
      </c>
      <c r="EZ4" s="25" t="s">
        <v>14</v>
      </c>
      <c r="FA4" s="25">
        <v>2</v>
      </c>
      <c r="FB4" s="25" t="s">
        <v>15</v>
      </c>
      <c r="FC4" s="25">
        <v>5</v>
      </c>
      <c r="FD4" s="25" t="s">
        <v>14</v>
      </c>
      <c r="FE4" s="25">
        <v>2</v>
      </c>
      <c r="FF4" s="25" t="s">
        <v>15</v>
      </c>
      <c r="FG4" s="205">
        <v>5</v>
      </c>
      <c r="FH4" s="214" t="s">
        <v>14</v>
      </c>
      <c r="FI4" s="215">
        <v>2</v>
      </c>
      <c r="FJ4" s="215" t="s">
        <v>15</v>
      </c>
      <c r="FK4" s="216">
        <v>2</v>
      </c>
      <c r="FL4" s="22"/>
    </row>
    <row r="5" spans="1:168" x14ac:dyDescent="0.2">
      <c r="A5" s="58" t="s">
        <v>91</v>
      </c>
      <c r="B5" s="58">
        <v>0.5</v>
      </c>
      <c r="E5" s="3"/>
      <c r="Y5" s="22"/>
      <c r="AT5" s="22"/>
      <c r="BO5" s="22"/>
      <c r="CJ5" s="22"/>
      <c r="DE5" s="22"/>
      <c r="DZ5" s="22"/>
      <c r="EU5" s="22"/>
      <c r="FL5" s="22"/>
    </row>
    <row r="6" spans="1:168" x14ac:dyDescent="0.2">
      <c r="E6" s="3"/>
      <c r="H6" s="5"/>
      <c r="L6" s="5"/>
      <c r="P6" s="5"/>
      <c r="T6" s="5"/>
      <c r="X6" s="5"/>
      <c r="Y6" s="157" t="s">
        <v>18</v>
      </c>
      <c r="AT6" s="157" t="s">
        <v>19</v>
      </c>
      <c r="BO6" s="157" t="s">
        <v>20</v>
      </c>
      <c r="CJ6" s="157" t="s">
        <v>21</v>
      </c>
      <c r="DE6" s="157" t="s">
        <v>22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57" t="s">
        <v>88</v>
      </c>
      <c r="EU6" s="157" t="s">
        <v>89</v>
      </c>
      <c r="FL6" s="157" t="s">
        <v>90</v>
      </c>
    </row>
    <row r="7" spans="1:168" x14ac:dyDescent="0.2">
      <c r="A7" s="12" t="s">
        <v>23</v>
      </c>
      <c r="B7" s="6" t="s">
        <v>24</v>
      </c>
      <c r="C7" s="12" t="s">
        <v>92</v>
      </c>
      <c r="D7" s="7" t="s">
        <v>93</v>
      </c>
      <c r="E7" s="6" t="s">
        <v>8</v>
      </c>
      <c r="F7" s="6" t="s">
        <v>27</v>
      </c>
      <c r="G7" s="6" t="s">
        <v>94</v>
      </c>
      <c r="H7" s="24" t="s">
        <v>28</v>
      </c>
      <c r="I7" s="12" t="s">
        <v>8</v>
      </c>
      <c r="J7" s="6" t="s">
        <v>27</v>
      </c>
      <c r="K7" s="6" t="s">
        <v>94</v>
      </c>
      <c r="L7" s="24" t="s">
        <v>28</v>
      </c>
      <c r="M7" s="12" t="s">
        <v>8</v>
      </c>
      <c r="N7" s="6" t="s">
        <v>27</v>
      </c>
      <c r="O7" s="6" t="s">
        <v>94</v>
      </c>
      <c r="P7" s="24" t="s">
        <v>28</v>
      </c>
      <c r="Q7" s="12" t="s">
        <v>8</v>
      </c>
      <c r="R7" s="6" t="s">
        <v>27</v>
      </c>
      <c r="S7" s="6" t="s">
        <v>94</v>
      </c>
      <c r="T7" s="24" t="s">
        <v>28</v>
      </c>
      <c r="U7" s="12" t="s">
        <v>8</v>
      </c>
      <c r="V7" s="6" t="s">
        <v>27</v>
      </c>
      <c r="W7" s="6" t="s">
        <v>94</v>
      </c>
      <c r="X7" s="24" t="s">
        <v>28</v>
      </c>
      <c r="Y7" s="154" t="s">
        <v>29</v>
      </c>
      <c r="Z7" s="47" t="s">
        <v>8</v>
      </c>
      <c r="AA7" s="38" t="s">
        <v>27</v>
      </c>
      <c r="AB7" s="6" t="s">
        <v>94</v>
      </c>
      <c r="AC7" s="48" t="s">
        <v>28</v>
      </c>
      <c r="AD7" s="47" t="s">
        <v>8</v>
      </c>
      <c r="AE7" s="48" t="s">
        <v>27</v>
      </c>
      <c r="AF7" s="6" t="s">
        <v>94</v>
      </c>
      <c r="AG7" s="48" t="s">
        <v>28</v>
      </c>
      <c r="AH7" s="47" t="s">
        <v>8</v>
      </c>
      <c r="AI7" s="48" t="s">
        <v>27</v>
      </c>
      <c r="AJ7" s="6" t="s">
        <v>94</v>
      </c>
      <c r="AK7" s="48" t="s">
        <v>28</v>
      </c>
      <c r="AL7" s="47" t="s">
        <v>8</v>
      </c>
      <c r="AM7" s="48" t="s">
        <v>27</v>
      </c>
      <c r="AN7" s="6" t="s">
        <v>94</v>
      </c>
      <c r="AO7" s="48" t="s">
        <v>28</v>
      </c>
      <c r="AP7" s="47" t="s">
        <v>8</v>
      </c>
      <c r="AQ7" s="48" t="s">
        <v>27</v>
      </c>
      <c r="AR7" s="6" t="s">
        <v>94</v>
      </c>
      <c r="AS7" s="49" t="s">
        <v>28</v>
      </c>
      <c r="AT7" s="159" t="s">
        <v>29</v>
      </c>
      <c r="AU7" s="102" t="s">
        <v>8</v>
      </c>
      <c r="AV7" s="102" t="s">
        <v>27</v>
      </c>
      <c r="AW7" s="26" t="s">
        <v>94</v>
      </c>
      <c r="AX7" s="102" t="s">
        <v>28</v>
      </c>
      <c r="AY7" s="97" t="s">
        <v>8</v>
      </c>
      <c r="AZ7" s="93" t="s">
        <v>27</v>
      </c>
      <c r="BA7" s="6" t="s">
        <v>94</v>
      </c>
      <c r="BB7" s="101" t="s">
        <v>28</v>
      </c>
      <c r="BC7" s="102" t="s">
        <v>8</v>
      </c>
      <c r="BD7" s="102" t="s">
        <v>27</v>
      </c>
      <c r="BE7" s="26" t="s">
        <v>94</v>
      </c>
      <c r="BF7" s="102" t="s">
        <v>28</v>
      </c>
      <c r="BG7" s="93" t="s">
        <v>8</v>
      </c>
      <c r="BH7" s="93" t="s">
        <v>27</v>
      </c>
      <c r="BI7" s="6" t="s">
        <v>94</v>
      </c>
      <c r="BJ7" s="101" t="s">
        <v>28</v>
      </c>
      <c r="BK7" s="102" t="s">
        <v>8</v>
      </c>
      <c r="BL7" s="102" t="s">
        <v>27</v>
      </c>
      <c r="BM7" s="26" t="s">
        <v>94</v>
      </c>
      <c r="BN7" s="102" t="s">
        <v>28</v>
      </c>
      <c r="BO7" s="154" t="s">
        <v>29</v>
      </c>
      <c r="BP7" s="148" t="s">
        <v>8</v>
      </c>
      <c r="BQ7" s="161" t="s">
        <v>27</v>
      </c>
      <c r="BR7" s="167" t="s">
        <v>94</v>
      </c>
      <c r="BS7" s="161" t="s">
        <v>28</v>
      </c>
      <c r="BT7" s="148" t="s">
        <v>8</v>
      </c>
      <c r="BU7" s="148" t="s">
        <v>27</v>
      </c>
      <c r="BV7" s="167" t="s">
        <v>94</v>
      </c>
      <c r="BW7" s="148" t="s">
        <v>28</v>
      </c>
      <c r="BX7" s="148" t="s">
        <v>8</v>
      </c>
      <c r="BY7" s="148" t="s">
        <v>27</v>
      </c>
      <c r="BZ7" s="167" t="s">
        <v>94</v>
      </c>
      <c r="CA7" s="148" t="s">
        <v>28</v>
      </c>
      <c r="CB7" s="148" t="s">
        <v>8</v>
      </c>
      <c r="CC7" s="148" t="s">
        <v>27</v>
      </c>
      <c r="CD7" s="167" t="s">
        <v>94</v>
      </c>
      <c r="CE7" s="148" t="s">
        <v>28</v>
      </c>
      <c r="CF7" s="148" t="s">
        <v>8</v>
      </c>
      <c r="CG7" s="148" t="s">
        <v>27</v>
      </c>
      <c r="CH7" s="167" t="s">
        <v>94</v>
      </c>
      <c r="CI7" s="150" t="s">
        <v>28</v>
      </c>
      <c r="CJ7" s="169" t="s">
        <v>29</v>
      </c>
      <c r="CK7" s="93" t="s">
        <v>8</v>
      </c>
      <c r="CL7" s="93" t="s">
        <v>27</v>
      </c>
      <c r="CM7" s="93" t="s">
        <v>94</v>
      </c>
      <c r="CN7" s="93" t="s">
        <v>28</v>
      </c>
      <c r="CO7" s="97" t="s">
        <v>8</v>
      </c>
      <c r="CP7" s="93" t="s">
        <v>27</v>
      </c>
      <c r="CQ7" s="93" t="s">
        <v>94</v>
      </c>
      <c r="CR7" s="101" t="s">
        <v>28</v>
      </c>
      <c r="CS7" s="93" t="s">
        <v>8</v>
      </c>
      <c r="CT7" s="93" t="s">
        <v>27</v>
      </c>
      <c r="CU7" s="93" t="s">
        <v>94</v>
      </c>
      <c r="CV7" s="93" t="s">
        <v>28</v>
      </c>
      <c r="CW7" s="97" t="s">
        <v>8</v>
      </c>
      <c r="CX7" s="93" t="s">
        <v>27</v>
      </c>
      <c r="CY7" s="93" t="s">
        <v>94</v>
      </c>
      <c r="CZ7" s="101" t="s">
        <v>28</v>
      </c>
      <c r="DA7" s="93" t="s">
        <v>8</v>
      </c>
      <c r="DB7" s="93" t="s">
        <v>27</v>
      </c>
      <c r="DC7" s="93" t="s">
        <v>94</v>
      </c>
      <c r="DD7" s="93" t="s">
        <v>28</v>
      </c>
      <c r="DE7" s="162" t="s">
        <v>29</v>
      </c>
      <c r="DF7" s="93" t="s">
        <v>8</v>
      </c>
      <c r="DG7" s="93" t="s">
        <v>27</v>
      </c>
      <c r="DH7" s="93" t="s">
        <v>94</v>
      </c>
      <c r="DI7" s="93" t="s">
        <v>28</v>
      </c>
      <c r="DJ7" s="93" t="s">
        <v>8</v>
      </c>
      <c r="DK7" s="93" t="s">
        <v>27</v>
      </c>
      <c r="DL7" s="93" t="s">
        <v>94</v>
      </c>
      <c r="DM7" s="93" t="s">
        <v>28</v>
      </c>
      <c r="DN7" s="93" t="s">
        <v>8</v>
      </c>
      <c r="DO7" s="93" t="s">
        <v>27</v>
      </c>
      <c r="DP7" s="93" t="s">
        <v>94</v>
      </c>
      <c r="DQ7" s="93" t="s">
        <v>28</v>
      </c>
      <c r="DR7" s="93" t="s">
        <v>8</v>
      </c>
      <c r="DS7" s="93" t="s">
        <v>27</v>
      </c>
      <c r="DT7" s="93" t="s">
        <v>94</v>
      </c>
      <c r="DU7" s="93" t="s">
        <v>28</v>
      </c>
      <c r="DV7" s="93" t="s">
        <v>8</v>
      </c>
      <c r="DW7" s="93" t="s">
        <v>27</v>
      </c>
      <c r="DX7" s="93" t="s">
        <v>94</v>
      </c>
      <c r="DY7" s="93" t="s">
        <v>28</v>
      </c>
      <c r="DZ7" s="162" t="s">
        <v>29</v>
      </c>
      <c r="EA7" s="93" t="s">
        <v>8</v>
      </c>
      <c r="EB7" s="93" t="s">
        <v>27</v>
      </c>
      <c r="EC7" s="93" t="s">
        <v>94</v>
      </c>
      <c r="ED7" s="93" t="s">
        <v>28</v>
      </c>
      <c r="EE7" s="93" t="s">
        <v>8</v>
      </c>
      <c r="EF7" s="93" t="s">
        <v>27</v>
      </c>
      <c r="EG7" s="93" t="s">
        <v>94</v>
      </c>
      <c r="EH7" s="93" t="s">
        <v>28</v>
      </c>
      <c r="EI7" s="93" t="s">
        <v>8</v>
      </c>
      <c r="EJ7" s="93" t="s">
        <v>27</v>
      </c>
      <c r="EK7" s="93" t="s">
        <v>94</v>
      </c>
      <c r="EL7" s="93" t="s">
        <v>28</v>
      </c>
      <c r="EM7" s="93" t="s">
        <v>8</v>
      </c>
      <c r="EN7" s="93" t="s">
        <v>27</v>
      </c>
      <c r="EO7" s="93" t="s">
        <v>94</v>
      </c>
      <c r="EP7" s="93" t="s">
        <v>28</v>
      </c>
      <c r="EQ7" s="93" t="s">
        <v>8</v>
      </c>
      <c r="ER7" s="93" t="s">
        <v>27</v>
      </c>
      <c r="ES7" s="93" t="s">
        <v>94</v>
      </c>
      <c r="ET7" s="93" t="s">
        <v>28</v>
      </c>
      <c r="EU7" s="162" t="s">
        <v>29</v>
      </c>
      <c r="EV7" s="93" t="s">
        <v>8</v>
      </c>
      <c r="EW7" s="93" t="s">
        <v>27</v>
      </c>
      <c r="EX7" s="93" t="s">
        <v>94</v>
      </c>
      <c r="EY7" s="93" t="s">
        <v>28</v>
      </c>
      <c r="EZ7" s="93" t="s">
        <v>8</v>
      </c>
      <c r="FA7" s="93" t="s">
        <v>27</v>
      </c>
      <c r="FB7" s="93" t="s">
        <v>94</v>
      </c>
      <c r="FC7" s="93" t="s">
        <v>28</v>
      </c>
      <c r="FD7" s="93" t="s">
        <v>8</v>
      </c>
      <c r="FE7" s="93" t="s">
        <v>27</v>
      </c>
      <c r="FF7" s="93" t="s">
        <v>94</v>
      </c>
      <c r="FG7" s="93" t="s">
        <v>28</v>
      </c>
      <c r="FH7" s="93" t="s">
        <v>8</v>
      </c>
      <c r="FI7" s="93" t="s">
        <v>27</v>
      </c>
      <c r="FJ7" s="93" t="s">
        <v>94</v>
      </c>
      <c r="FK7" s="93" t="s">
        <v>28</v>
      </c>
      <c r="FL7" s="162" t="s">
        <v>29</v>
      </c>
    </row>
    <row r="8" spans="1:168" x14ac:dyDescent="0.2">
      <c r="A8" t="s">
        <v>95</v>
      </c>
      <c r="B8" t="s">
        <v>96</v>
      </c>
      <c r="C8" s="67">
        <f>AVERAGEIF($7:$7,"Team Pts",8:8)</f>
        <v>2</v>
      </c>
      <c r="D8" s="69">
        <f>AVERAGEIF($7:$7,"GA",8:8)</f>
        <v>3.5384615384615383</v>
      </c>
      <c r="E8" s="1" t="s">
        <v>11</v>
      </c>
      <c r="F8" s="16">
        <f>IF(OR(H$3="", H$4=""),"", IF(E8=E$3, IF(F$3=H$3, $B$3, IF(F$3&gt;H$3, $B$2, $B$4)),
 IF(E8=G$3, IF(H$3=F$3, $B$3, IF(H$3&gt;F$3, $B$2, $B$4)),
 IF(E8=E$4, IF(F$4=H$4, $B$3, IF(F$4&gt;H$4, $B$2, $B$4)),
 IF(E8=G$4, IF(H$4=F$4, $B$3, IF(H$4&gt;F$4, $B$2, $B$4)), "")))))</f>
        <v>0</v>
      </c>
      <c r="G8" s="1">
        <v>6</v>
      </c>
      <c r="H8" s="1">
        <f>F8-($B$5*G8)</f>
        <v>-3</v>
      </c>
      <c r="I8" s="136" t="s">
        <v>97</v>
      </c>
      <c r="J8" s="53">
        <v>0</v>
      </c>
      <c r="K8" s="56">
        <v>0</v>
      </c>
      <c r="L8" s="56">
        <f>J8-($B$5*K8)</f>
        <v>0</v>
      </c>
      <c r="M8" s="15" t="s">
        <v>15</v>
      </c>
      <c r="N8" s="16">
        <f>IF(OR(P$3="", P$4=""),"", IF(M8=M$3, IF(N$3=P$3, $B$3, IF(N$3&gt;P$3, $B$2, $B$4)),
 IF(M8=O$3, IF(P$3=N$3, $B$3, IF(P$3&gt;N$3, $B$2, $B$4)),
 IF(M8=M$4, IF(N$4=P$4, $B$3, IF(N$4&gt;P$4, $B$2, $B$4)),
 IF(M8=O$4, IF(P$4=N$4, $B$3, IF(P$4&gt;N$4, $B$2, $B$4)), "")))))</f>
        <v>0</v>
      </c>
      <c r="O8" s="1">
        <v>4</v>
      </c>
      <c r="P8" s="1">
        <f>N8-($B$5*O8)</f>
        <v>-2</v>
      </c>
      <c r="Q8" s="15" t="s">
        <v>14</v>
      </c>
      <c r="R8" s="16">
        <f>IF(OR(T$3="", T$4=""),"", IF(Q8=Q$3, IF(R$3=T$3, $B$3, IF(R$3&gt;T$3, $B$2, $B$4)),
 IF(Q8=S$3, IF(T$3=R$3, $B$3, IF(T$3&gt;R$3, $B$2, $B$4)),
 IF(Q8=Q$4, IF(R$4=T$4, $B$3, IF(R$4&gt;T$4, $B$2, $B$4)),
 IF(Q8=S$4, IF(T$4=R$4, $B$3, IF(T$4&gt;R$4, $B$2, $B$4)), "")))))</f>
        <v>0</v>
      </c>
      <c r="S8" s="1">
        <v>6</v>
      </c>
      <c r="T8" s="1">
        <f>R8-($B$5*S8)</f>
        <v>-3</v>
      </c>
      <c r="U8" s="15" t="s">
        <v>12</v>
      </c>
      <c r="V8" s="16">
        <f>IF(OR(X$3="", X$4=""),"", IF(U8=U$3, IF(V$3=X$3, $B$3, IF(V$3&gt;X$3, $B$2, $B$4)),
 IF(U8=W$3, IF(X$3=V$3, $B$3, IF(X$3&gt;V$3, $B$2, $B$4)),
 IF(U8=U$4, IF(V$4=X$4, $B$3, IF(V$4&gt;X$4, $B$2, $B$4)),
 IF(U8=W$4, IF(X$4=V$4, $B$3, IF(X$4&gt;V$4, $B$2, $B$4)), "")))))</f>
        <v>0</v>
      </c>
      <c r="W8" s="1">
        <v>6</v>
      </c>
      <c r="X8" s="1">
        <f>V8-($B$5*W8)</f>
        <v>-3</v>
      </c>
      <c r="Y8" s="31">
        <f>SUM(H8,L8,P8,T8,X8)</f>
        <v>-11</v>
      </c>
      <c r="Z8" s="28" t="s">
        <v>14</v>
      </c>
      <c r="AA8" s="33">
        <f t="shared" ref="AA8:AA11" si="0">IF(OR(AC$3="", AC$4=""),"", IF(Z8=Z$3, IF(AA$3=AC$3, $B$3, IF(AA$3&gt;AC$3, $B$2, $B$4)),
 IF(Z8=AB$3, IF(AC$3=AA$3, $B$3, IF(AC$3&gt;AA$3, $B$2, $B$4)),
 IF(Z8=Z$4, IF(AA$4=AC$4, $B$3, IF(AA$4&gt;AC$4, $B$2, $B$4)),
 IF(Z8=AB$4, IF(AC$4=AA$4, $B$3, IF(AC$4&gt;AA$4, $B$2, $B$4)), "")))))</f>
        <v>0</v>
      </c>
      <c r="AB8" s="27">
        <v>5</v>
      </c>
      <c r="AC8" s="1">
        <f>AA8-($B$5*AB8)</f>
        <v>-2.5</v>
      </c>
      <c r="AD8" s="52" t="s">
        <v>97</v>
      </c>
      <c r="AE8" s="53">
        <v>0</v>
      </c>
      <c r="AF8" s="54">
        <v>0</v>
      </c>
      <c r="AG8" s="56">
        <f>AE8-($B$5*AF8)</f>
        <v>0</v>
      </c>
      <c r="AH8" s="28" t="s">
        <v>11</v>
      </c>
      <c r="AI8" s="16">
        <f t="shared" ref="AI8:AI12" si="1">IF(OR(AK$3="", AK$4=""),"", IF(AH8=AH$3, IF(AI$3=AK$3, $B$3, IF(AI$3&gt;AK$3, $B$2, $B$4)),
 IF(AH8=AJ$3, IF(AK$3=AI$3, $B$3, IF(AK$3&gt;AI$3, $B$2, $B$4)),
 IF(AH8=AH$4, IF(AI$4=AK$4, $B$3, IF(AI$4&gt;AK$4, $B$2, $B$4)),
 IF(AH8=AJ$4, IF(AK$4=AI$4, $B$3, IF(AK$4&gt;AI$4, $B$2, $B$4)), "")))))</f>
        <v>2</v>
      </c>
      <c r="AJ8" s="27">
        <v>3</v>
      </c>
      <c r="AK8" s="1">
        <f>AI8-($B$5*AJ8)</f>
        <v>0.5</v>
      </c>
      <c r="AL8" s="28" t="s">
        <v>15</v>
      </c>
      <c r="AM8" s="16">
        <f t="shared" ref="AM8:AM12" si="2">IF(OR(AO$3="", AO$4=""),"", IF(AL8=AL$3, IF(AM$3=AO$3, $B$3, IF(AM$3&gt;AO$3, $B$2, $B$4)),
 IF(AL8=AN$3, IF(AO$3=AM$3, $B$3, IF(AO$3&gt;AM$3, $B$2, $B$4)),
 IF(AL8=AL$4, IF(AM$4=AO$4, $B$3, IF(AM$4&gt;AO$4, $B$2, $B$4)),
 IF(AL8=AN$4, IF(AO$4=AM$4, $B$3, IF(AO$4&gt;AM$4, $B$2, $B$4)), "")))))</f>
        <v>2</v>
      </c>
      <c r="AN8" s="27">
        <v>4</v>
      </c>
      <c r="AO8" s="1">
        <f>AM8-($B$5*AN8)</f>
        <v>0</v>
      </c>
      <c r="AP8" s="28" t="s">
        <v>14</v>
      </c>
      <c r="AQ8" s="16">
        <f t="shared" ref="AQ8:AQ12" si="3">IF(OR(AS$3="", AS$4=""),"", IF(AP8=AP$3, IF(AQ$3=AS$3, $B$3, IF(AQ$3&gt;AS$3, $B$2, $B$4)),
 IF(AP8=AR$3, IF(AS$3=AQ$3, $B$3, IF(AS$3&gt;AQ$3, $B$2, $B$4)),
 IF(AP8=AP$4, IF(AQ$4=AS$4, $B$3, IF(AQ$4&gt;AS$4, $B$2, $B$4)),
 IF(AP8=AR$4, IF(AS$4=AQ$4, $B$3, IF(AS$4&gt;AQ$4, $B$2, $B$4)), "")))))</f>
        <v>6</v>
      </c>
      <c r="AR8" s="27">
        <v>3</v>
      </c>
      <c r="AS8" s="17">
        <f>AQ8-($B$5*AR8)</f>
        <v>4.5</v>
      </c>
      <c r="AT8" s="94">
        <f>SUM(AC8,AG8,AK8,AO8,AS8)</f>
        <v>2.5</v>
      </c>
      <c r="AU8" s="124" t="s">
        <v>97</v>
      </c>
      <c r="AV8" s="129">
        <v>0</v>
      </c>
      <c r="AW8" s="126">
        <v>0</v>
      </c>
      <c r="AX8" s="142">
        <f>AV8-($B$5*AW8)</f>
        <v>0</v>
      </c>
      <c r="AY8" s="1" t="s">
        <v>12</v>
      </c>
      <c r="AZ8" s="16">
        <f t="shared" ref="AZ8" si="4">IF(OR(BB$3="", BB$4=""),"", IF(AY8=AY$3, IF(AZ$3=BB$3, $B$3, IF(AZ$3&gt;BB$3, $B$2, $B$4)),
 IF(AY8=BA$3, IF(BB$3=AZ$3, $B$3, IF(BB$3&gt;AZ$3, $B$2, $B$4)),
 IF(AY8=AY$4, IF(AZ$4=BB$4, $B$3, IF(AZ$4&gt;BB$4, $B$2, $B$4)),
 IF(AY8=BA$4, IF(BB$4=AZ$4, $B$3, IF(BB$4&gt;AZ$4, $B$2, $B$4)), "")))))</f>
        <v>2</v>
      </c>
      <c r="BA8" s="1">
        <v>6</v>
      </c>
      <c r="BB8" s="111">
        <f t="shared" ref="BB8" si="5">AZ8-($B$5*BA8)</f>
        <v>-1</v>
      </c>
      <c r="BC8" s="127" t="s">
        <v>12</v>
      </c>
      <c r="BD8" s="125">
        <f t="shared" ref="BD8" si="6">IF(OR(BF$3="", BF$4=""),"", IF(BC8=BC$3, IF(BD$3=BF$3, $B$3, IF(BD$3&gt;BF$3, $B$2, $B$4)),
 IF(BC8=BE$3, IF(BF$3=BD$3, $B$3, IF(BF$3&gt;BD$3, $B$2, $B$4)),
 IF(BC8=BC$4, IF(BD$4=BF$4, $B$3, IF(BD$4&gt;BF$4, $B$2, $B$4)),
 IF(BC8=BE$4, IF(BF$4=BD$4, $B$3, IF(BF$4&gt;BD$4, $B$2, $B$4)), "")))))</f>
        <v>0</v>
      </c>
      <c r="BE8" s="128">
        <v>4</v>
      </c>
      <c r="BF8" s="111">
        <f t="shared" ref="BF8" si="7">BD8-($B$5*BE8)</f>
        <v>-2</v>
      </c>
      <c r="BG8" s="1" t="s">
        <v>11</v>
      </c>
      <c r="BH8" s="16">
        <f t="shared" ref="BH8" si="8">IF(OR(BJ$3="", BJ$4=""),"", IF(BG8=BG$3, IF(BH$3=BJ$3, $B$3, IF(BH$3&gt;BJ$3, $B$2, $B$4)),
 IF(BG8=BI$3, IF(BJ$3=BH$3, $B$3, IF(BJ$3&gt;BH$3, $B$2, $B$4)),
 IF(BG8=BG$4, IF(BH$4=BJ$4, $B$3, IF(BH$4&gt;BJ$4, $B$2, $B$4)),
 IF(BG8=BI$4, IF(BJ$4=BH$4, $B$3, IF(BJ$4&gt;BH$4, $B$2, $B$4)), "")))))</f>
        <v>6</v>
      </c>
      <c r="BI8" s="1">
        <v>2</v>
      </c>
      <c r="BJ8" s="111">
        <f t="shared" ref="BJ8" si="9">BH8-($B$5*BI8)</f>
        <v>5</v>
      </c>
      <c r="BK8" s="127" t="s">
        <v>15</v>
      </c>
      <c r="BL8" s="125">
        <f t="shared" ref="BL8" si="10">IF(OR(BN$3="", BN$4=""),"", IF(BK8=BK$3, IF(BL$3=BN$3, $B$3, IF(BL$3&gt;BN$3, $B$2, $B$4)),
 IF(BK8=BM$3, IF(BN$3=BL$3, $B$3, IF(BN$3&gt;BL$3, $B$2, $B$4)),
 IF(BK8=BK$4, IF(BL$4=BN$4, $B$3, IF(BL$4&gt;BN$4, $B$2, $B$4)),
 IF(BK8=BM$4, IF(BN$4=BL$4, $B$3, IF(BN$4&gt;BL$4, $B$2, $B$4)), "")))))</f>
        <v>6</v>
      </c>
      <c r="BM8" s="128">
        <v>5</v>
      </c>
      <c r="BN8" s="111">
        <f t="shared" ref="BN8" si="11">BL8-($B$5*BM8)</f>
        <v>3.5</v>
      </c>
      <c r="BO8" s="149">
        <f>SUM(AX8,BB8,BF8,BJ8,BN8)</f>
        <v>5.5</v>
      </c>
      <c r="BP8" s="115" t="s">
        <v>97</v>
      </c>
      <c r="BQ8" s="126">
        <v>0</v>
      </c>
      <c r="BR8" s="56">
        <v>0</v>
      </c>
      <c r="BS8" s="142">
        <f t="shared" ref="BS8:BS12" si="12">BQ8-($B$5*BR8)</f>
        <v>0</v>
      </c>
      <c r="BT8" s="1" t="s">
        <v>12</v>
      </c>
      <c r="BU8" s="16">
        <f t="shared" ref="BU8:BU11" si="13">IF(OR(BW$3="", BW$4=""),"", IF(BT8=BT$3, IF(BU$3=BW$3, $B$3, IF(BU$3&gt;BW$3, $B$2, $B$4)),
 IF(BT8=BV$3, IF(BW$3=BU$3, $B$3, IF(BW$3&gt;BU$3, $B$2, $B$4)),
 IF(BT8=BT$4, IF(BU$4=BW$4, $B$3, IF(BU$4&gt;BW$4, $B$2, $B$4)),
 IF(BT8=BV$4, IF(BW$4=BU$4, $B$3, IF(BW$4&gt;BU$4, $B$2, $B$4)), "")))))</f>
        <v>0</v>
      </c>
      <c r="BV8" s="1">
        <v>7</v>
      </c>
      <c r="BW8" s="78">
        <f t="shared" ref="BW8:BW12" si="14">BU8-($B$5*BV8)</f>
        <v>-3.5</v>
      </c>
      <c r="BX8" s="98" t="s">
        <v>11</v>
      </c>
      <c r="BY8" s="16">
        <f t="shared" ref="BY8:BY12" si="15">IF(OR(CA$3="", CA$4=""),"", IF(BX8=BX$3, IF(BY$3=CA$3, $B$3, IF(BY$3&gt;CA$3, $B$2, $B$4)),
 IF(BX8=BZ$3, IF(CA$3=BY$3, $B$3, IF(CA$3&gt;BY$3, $B$2, $B$4)),
 IF(BX8=BX$4, IF(BY$4=CA$4, $B$3, IF(BY$4&gt;CA$4, $B$2, $B$4)),
 IF(BX8=BZ$4, IF(CA$4=BY$4, $B$3, IF(CA$4&gt;BY$4, $B$2, $B$4)), "")))))</f>
        <v>0</v>
      </c>
      <c r="BZ8" s="1">
        <v>7</v>
      </c>
      <c r="CA8" s="78">
        <f t="shared" ref="CA8:CA12" si="16">BY8-($B$5*BZ8)</f>
        <v>-3.5</v>
      </c>
      <c r="CB8" s="98" t="s">
        <v>14</v>
      </c>
      <c r="CC8" s="16">
        <f t="shared" ref="CC8:CC12" si="17">IF(OR(CE$3="", CE$4=""),"", IF(CB8=CB$3, IF(CC$3=CE$3, $B$3, IF(CC$3&gt;CE$3, $B$2, $B$4)),
 IF(CB8=CD$3, IF(CE$3=CC$3, $B$3, IF(CE$3&gt;CC$3, $B$2, $B$4)),
 IF(CB8=CB$4, IF(CC$4=CE$4, $B$3, IF(CC$4&gt;CE$4, $B$2, $B$4)),
 IF(CB8=CD$4, IF(CE$4=CC$4, $B$3, IF(CE$4&gt;CC$4, $B$2, $B$4)), "")))))</f>
        <v>0</v>
      </c>
      <c r="CD8" s="1">
        <v>7</v>
      </c>
      <c r="CE8" s="78">
        <f t="shared" ref="CE8:CE12" si="18">CC8-($B$5*CD8)</f>
        <v>-3.5</v>
      </c>
      <c r="CF8" s="98" t="s">
        <v>12</v>
      </c>
      <c r="CG8" s="16">
        <f t="shared" ref="CG8:CG12" si="19">IF(OR(CI$3="", CI$4=""),"", IF(CF8=CF$3, IF(CG$3=CI$3, $B$3, IF(CG$3&gt;CI$3, $B$2, $B$4)),
 IF(CF8=CH$3, IF(CI$3=CG$3, $B$3, IF(CI$3&gt;CG$3, $B$2, $B$4)),
 IF(CF8=CF$4, IF(CG$4=CI$4, $B$3, IF(CG$4&gt;CI$4, $B$2, $B$4)),
 IF(CF8=CH$4, IF(CI$4=CG$4, $B$3, IF(CI$4&gt;CG$4, $B$2, $B$4)), "")))))</f>
        <v>0</v>
      </c>
      <c r="CH8" s="1">
        <v>3</v>
      </c>
      <c r="CI8" s="78">
        <f t="shared" ref="CI8:CI12" si="20">CG8-($B$5*CH8)</f>
        <v>-1.5</v>
      </c>
      <c r="CJ8" s="170">
        <f>SUM(BS8,BW8,CA8,CE8,CI8)</f>
        <v>-12</v>
      </c>
      <c r="CK8" s="115" t="s">
        <v>97</v>
      </c>
      <c r="CL8" s="53">
        <v>0</v>
      </c>
      <c r="CM8" s="56">
        <v>0</v>
      </c>
      <c r="CN8" s="144">
        <f>CL8-($B$5*CM8)</f>
        <v>0</v>
      </c>
      <c r="CO8" s="1" t="s">
        <v>11</v>
      </c>
      <c r="CP8" s="16">
        <f>IF(OR(CR$3="", CR$4=""),"", IF(CO8=CO$3, IF(CP$3=CR$3, $B$3, IF(CP$3&gt;CR$3, $B$2, $B$4)),
 IF(CO8=CQ$3, IF(CR$3=CP$3, $B$3, IF(CR$3&gt;CP$3, $B$2, $B$4)),
 IF(CO8=CO$4, IF(CP$4=CR$4, $B$3, IF(CP$4&gt;CR$4, $B$2, $B$4)),
 IF(CO8=CQ$4, IF(CR$4=CP$4, $B$3, IF(CR$4&gt;CP$4, $B$2, $B$4)), "")))))</f>
        <v>0</v>
      </c>
      <c r="CQ8" s="1">
        <v>4</v>
      </c>
      <c r="CR8" s="78">
        <f>CP8-($B$5*CQ8)</f>
        <v>-2</v>
      </c>
      <c r="CS8" s="98" t="s">
        <v>12</v>
      </c>
      <c r="CT8" s="16">
        <f>IF(OR(CV$3="", CV$4=""),"", IF(CS8=CS$3, IF(CT$3=CV$3, $B$3, IF(CT$3&gt;CV$3, $B$2, $B$4)),
 IF(CS8=CU$3, IF(CV$3=CT$3, $B$3, IF(CV$3&gt;CT$3, $B$2, $B$4)),
 IF(CS8=CS$4, IF(CT$4=CV$4, $B$3, IF(CT$4&gt;CV$4, $B$2, $B$4)),
 IF(CS8=CU$4, IF(CV$4=CT$4, $B$3, IF(CV$4&gt;CT$4, $B$2, $B$4)), "")))))</f>
        <v>2</v>
      </c>
      <c r="CU8" s="1">
        <v>5</v>
      </c>
      <c r="CV8" s="112">
        <f>CT8-($B$5*CU8)</f>
        <v>-0.5</v>
      </c>
      <c r="CW8" s="1" t="s">
        <v>11</v>
      </c>
      <c r="CX8" s="16">
        <f>IF(OR(CZ$3="", CZ$4=""),"", IF(CW8=CW$3, IF(CX$3=CZ$3, $B$3, IF(CX$3&gt;CZ$3, $B$2, $B$4)),
 IF(CW8=CY$3, IF(CZ$3=CX$3, $B$3, IF(CZ$3&gt;CX$3, $B$2, $B$4)),
 IF(CW8=CW$4, IF(CX$4=CZ$4, $B$3, IF(CX$4&gt;CZ$4, $B$2, $B$4)),
 IF(CW8=CY$4, IF(CZ$4=CX$4, $B$3, IF(CZ$4&gt;CX$4, $B$2, $B$4)), "")))))</f>
        <v>6</v>
      </c>
      <c r="CY8" s="1">
        <v>2</v>
      </c>
      <c r="CZ8" s="78">
        <f>CX8-($B$5*CY8)</f>
        <v>5</v>
      </c>
      <c r="DA8" s="98" t="s">
        <v>14</v>
      </c>
      <c r="DB8" s="16">
        <f>IF(OR(DD$3="", DD$4=""),"", IF(DA8=DA$3, IF(DB$3=DD$3, $B$3, IF(DB$3&gt;DD$3, $B$2, $B$4)),
 IF(DA8=DC$3, IF(DD$3=DB$3, $B$3, IF(DD$3&gt;DB$3, $B$2, $B$4)),
 IF(DA8=DA$4, IF(DB$4=DD$4, $B$3, IF(DB$4&gt;DD$4, $B$2, $B$4)),
 IF(DA8=DC$4, IF(DD$4=DB$4, $B$3, IF(DD$4&gt;DB$4, $B$2, $B$4)), "")))))</f>
        <v>2</v>
      </c>
      <c r="DC8" s="1">
        <v>6</v>
      </c>
      <c r="DD8" s="112">
        <f>DB8-($B$5*DC8)</f>
        <v>-1</v>
      </c>
      <c r="DE8" s="151">
        <f>SUM(CN8,CR8,CV8,CZ8,DD8)</f>
        <v>1.5</v>
      </c>
      <c r="DF8" s="1" t="s">
        <v>15</v>
      </c>
      <c r="DG8" s="16">
        <f>IF(OR(DI$3="", DI$4=""),"", IF(DF8=DF$3, IF(DG$3=DI$3, $B$3, IF(DG$3&gt;DI$3, $B$2, $B$4)),
 IF(DF8=DH$3, IF(DI$3=DG$3, $B$3, IF(DI$3&gt;DG$3, $B$2, $B$4)),
 IF(DF8=DF$4, IF(DG$4=DI$4, $B$3, IF(DG$4&gt;DI$4, $B$2, $B$4)),
 IF(DF8=DH$4, IF(DI$4=DG$4, $B$3, IF(DI$4&gt;DG$4, $B$2, $B$4)), "")))))</f>
        <v>6</v>
      </c>
      <c r="DH8" s="1">
        <v>4</v>
      </c>
      <c r="DI8" s="112">
        <f>DG8-($B$5*DH8)</f>
        <v>4</v>
      </c>
      <c r="DJ8" s="1" t="s">
        <v>11</v>
      </c>
      <c r="DK8" s="16">
        <f>IF(OR(DM$3="", DM$4=""),"", IF(DJ8=DJ$3, IF(DK$3=DM$3, $B$3, IF(DK$3&gt;DM$3, $B$2, $B$4)),
 IF(DJ8=DL$3, IF(DM$3=DK$3, $B$3, IF(DM$3&gt;DK$3, $B$2, $B$4)),
 IF(DJ8=DJ$4, IF(DK$4=DM$4, $B$3, IF(DK$4&gt;DM$4, $B$2, $B$4)),
 IF(DJ8=DL$4, IF(DM$4=DK$4, $B$3, IF(DM$4&gt;DK$4, $B$2, $B$4)), "")))))</f>
        <v>6</v>
      </c>
      <c r="DL8" s="1">
        <v>4</v>
      </c>
      <c r="DM8" s="112">
        <f>DK8-($B$5*DL8)</f>
        <v>4</v>
      </c>
      <c r="DN8" s="1" t="s">
        <v>15</v>
      </c>
      <c r="DO8" s="16">
        <f>IF(OR(DQ$3="", DQ$4=""),"", IF(DN8=DN$3, IF(DO$3=DQ$3, $B$3, IF(DO$3&gt;DQ$3, $B$2, $B$4)),
 IF(DN8=DP$3, IF(DQ$3=DO$3, $B$3, IF(DQ$3&gt;DO$3, $B$2, $B$4)),
 IF(DN8=DN$4, IF(DO$4=DQ$4, $B$3, IF(DO$4&gt;DQ$4, $B$2, $B$4)),
 IF(DN8=DP$4, IF(DQ$4=DO$4, $B$3, IF(DQ$4&gt;DO$4, $B$2, $B$4)), "")))))</f>
        <v>0</v>
      </c>
      <c r="DP8" s="1">
        <v>5</v>
      </c>
      <c r="DQ8" s="112">
        <f>DO8-($B$5*DP8)</f>
        <v>-2.5</v>
      </c>
      <c r="DR8" s="1" t="s">
        <v>11</v>
      </c>
      <c r="DS8" s="16">
        <f>IF(OR(DU$3="", DU$4=""),"", IF(DR8=DR$3, IF(DS$3=DU$3, $B$3, IF(DS$3&gt;DU$3, $B$2, $B$4)),
 IF(DR8=DT$3, IF(DU$3=DS$3, $B$3, IF(DU$3&gt;DS$3, $B$2, $B$4)),
 IF(DR8=DR$4, IF(DS$4=DU$4, $B$3, IF(DS$4&gt;DU$4, $B$2, $B$4)),
 IF(DR8=DT$4, IF(DU$4=DS$4, $B$3, IF(DU$4&gt;DS$4, $B$2, $B$4)), "")))))</f>
        <v>6</v>
      </c>
      <c r="DT8" s="1">
        <v>3</v>
      </c>
      <c r="DU8" s="112">
        <f>DS8-($B$5*DT8)</f>
        <v>4.5</v>
      </c>
      <c r="DV8" s="56" t="s">
        <v>97</v>
      </c>
      <c r="DW8" s="53">
        <v>0</v>
      </c>
      <c r="DX8" s="56">
        <v>0</v>
      </c>
      <c r="DY8" s="144">
        <f>DW8-($B$5*DX8)</f>
        <v>0</v>
      </c>
      <c r="DZ8" s="151">
        <f>SUM(DI8,DM8,DQ8,DU8,DY8)</f>
        <v>10</v>
      </c>
      <c r="EA8" s="115" t="s">
        <v>97</v>
      </c>
      <c r="EB8" s="195">
        <v>0</v>
      </c>
      <c r="EC8" s="196">
        <v>0</v>
      </c>
      <c r="ED8" s="144">
        <f t="shared" ref="ED8:ED12" si="21">EB8-($B$5*EC8)</f>
        <v>0</v>
      </c>
      <c r="EE8" s="182" t="s">
        <v>11</v>
      </c>
      <c r="EF8" s="197">
        <f t="shared" ref="EF8:EF10" si="22">IF(OR(EH$3="", EH$4=""),"", IF(EE8=EE$3, IF(EF$3=EH$3, $B$3, IF(EF$3&gt;EH$3, $B$2, $B$4)),
 IF(EE8=EG$3, IF(EH$3=EF$3, $B$3, IF(EH$3&gt;EF$3, $B$2, $B$4)),
 IF(EE8=EE$4, IF(EF$4=EH$4, $B$3, IF(EF$4&gt;EH$4, $B$2, $B$4)),
 IF(EE8=EG$4, IF(EH$4=EF$4, $B$3, IF(EH$4&gt;EF$4, $B$2, $B$4)), "")))))</f>
        <v>6</v>
      </c>
      <c r="EG8" s="182">
        <v>1</v>
      </c>
      <c r="EH8" s="112">
        <f t="shared" ref="EH8:EH12" si="23">EF8-($B$5*EG8)</f>
        <v>5.5</v>
      </c>
      <c r="EI8" s="182" t="s">
        <v>14</v>
      </c>
      <c r="EJ8" s="197">
        <f t="shared" ref="EJ8:EJ12" si="24">IF(OR(EL$3="", EL$4=""),"", IF(EI8=EI$3, IF(EJ$3=EL$3, $B$3, IF(EJ$3&gt;EL$3, $B$2, $B$4)),
 IF(EI8=EK$3, IF(EL$3=EJ$3, $B$3, IF(EL$3&gt;EJ$3, $B$2, $B$4)),
 IF(EI8=EI$4, IF(EJ$4=EL$4, $B$3, IF(EJ$4&gt;EL$4, $B$2, $B$4)),
 IF(EI8=EK$4, IF(EL$4=EJ$4, $B$3, IF(EL$4&gt;EJ$4, $B$2, $B$4)), "")))))</f>
        <v>0</v>
      </c>
      <c r="EK8" s="182">
        <v>5</v>
      </c>
      <c r="EL8" s="112">
        <f t="shared" ref="EL8:EL12" si="25">EJ8-($B$5*EK8)</f>
        <v>-2.5</v>
      </c>
      <c r="EM8" s="182" t="s">
        <v>11</v>
      </c>
      <c r="EN8" s="197">
        <f t="shared" ref="EN8:EN12" si="26">IF(OR(EP$3="", EP$4=""),"", IF(EM8=EM$3, IF(EN$3=EP$3, $B$3, IF(EN$3&gt;EP$3, $B$2, $B$4)),
 IF(EM8=EO$3, IF(EP$3=EN$3, $B$3, IF(EP$3&gt;EN$3, $B$2, $B$4)),
 IF(EM8=EM$4, IF(EN$4=EP$4, $B$3, IF(EN$4&gt;EP$4, $B$2, $B$4)),
 IF(EM8=EO$4, IF(EP$4=EN$4, $B$3, IF(EP$4&gt;EN$4, $B$2, $B$4)), "")))))</f>
        <v>0</v>
      </c>
      <c r="EO8" s="182">
        <v>6</v>
      </c>
      <c r="EP8" s="112">
        <f t="shared" ref="EP8:EP12" si="27">EN8-($B$5*EO8)</f>
        <v>-3</v>
      </c>
      <c r="EQ8" s="182" t="s">
        <v>11</v>
      </c>
      <c r="ER8" s="197">
        <f t="shared" ref="ER8:ER12" si="28">IF(OR(ET$3="", ET$4=""),"", IF(EQ8=EQ$3, IF(ER$3=ET$3, $B$3, IF(ER$3&gt;ET$3, $B$2, $B$4)),
 IF(EQ8=ES$3, IF(ET$3=ER$3, $B$3, IF(ET$3&gt;ER$3, $B$2, $B$4)),
 IF(EQ8=EQ$4, IF(ER$4=ET$4, $B$3, IF(ER$4&gt;ET$4, $B$2, $B$4)),
 IF(EQ8=ES$4, IF(ET$4=ER$4, $B$3, IF(ET$4&gt;ER$4, $B$2, $B$4)), "")))))</f>
        <v>0</v>
      </c>
      <c r="ES8" s="182">
        <v>5</v>
      </c>
      <c r="ET8" s="112">
        <f t="shared" ref="ET8:ET12" si="29">ER8-($B$5*ES8)</f>
        <v>-2.5</v>
      </c>
      <c r="EU8" s="151">
        <f>SUM(ED8,EH8,EL8,EP8,ET8)</f>
        <v>-2.5</v>
      </c>
      <c r="EV8" s="98" t="s">
        <v>15</v>
      </c>
      <c r="EW8" s="219">
        <f>IF(EV8="Out", VALUE($C8), IF(OR(EY$3="", EY$4=""),"", IF(EV8=EV$3, IF(EW$3=EY$3, $B$3, IF(EW$3&gt;EY$3, $B$2, $B$4)),
 IF(EV8=EX$3, IF(EY$3=EW$3, $B$3, IF(EY$3&gt;EW$3, $B$2, $B$4)),
 IF(EV8=EV$4, IF(EW$4=EY$4, $B$3, IF(EW$4&gt;EY$4, $B$2, $B$4)),
 IF(EV8=EX$4, IF(EY$4=EW$4, $B$3, IF(EY$4&gt;EW$4, $B$2, $B$4)), ""))))))</f>
        <v>2</v>
      </c>
      <c r="EX8" s="182">
        <v>4</v>
      </c>
      <c r="EY8" s="112">
        <f t="shared" ref="EY8:EY12" si="30">EW8-($B$5*EX8)</f>
        <v>0</v>
      </c>
      <c r="EZ8" s="182" t="s">
        <v>15</v>
      </c>
      <c r="FA8" s="219">
        <f>IF(EZ8="Out", VALUE($C8), IF(OR(FC$3="", FC$4=""),"", IF(EZ8=EZ$3, IF(FA$3=FC$3, $B$3, IF(FA$3&gt;FC$3, $B$2, $B$4)),
 IF(EZ8=FB$3, IF(FC$3=FA$3, $B$3, IF(FC$3&gt;FA$3, $B$2, $B$4)),
 IF(EZ8=EZ$4, IF(FA$4=FC$4, $B$3, IF(FA$4&gt;FC$4, $B$2, $B$4)),
 IF(EZ8=FB$4, IF(FC$4=FA$4, $B$3, IF(FC$4&gt;FA$4, $B$2, $B$4)), ""))))))</f>
        <v>6</v>
      </c>
      <c r="FB8" s="182">
        <v>2</v>
      </c>
      <c r="FC8" s="112">
        <f t="shared" ref="FC8:FC12" si="31">FA8-($B$5*FB8)</f>
        <v>5</v>
      </c>
      <c r="FD8" s="182" t="s">
        <v>15</v>
      </c>
      <c r="FE8" s="219">
        <f>IF(FD8="Out", VALUE($C8), IF(OR(FG$3="", FG$4=""),"", IF(FD8=FD$3, IF(FE$3=FG$3, $B$3, IF(FE$3&gt;FG$3, $B$2, $B$4)),
 IF(FD8=FF$3, IF(FG$3=FE$3, $B$3, IF(FG$3&gt;FE$3, $B$2, $B$4)),
 IF(FD8=FD$4, IF(FE$4=FG$4, $B$3, IF(FE$4&gt;FG$4, $B$2, $B$4)),
 IF(FD8=FF$4, IF(FG$4=FE$4, $B$3, IF(FG$4&gt;FE$4, $B$2, $B$4)), ""))))))</f>
        <v>6</v>
      </c>
      <c r="FF8" s="182">
        <v>2</v>
      </c>
      <c r="FG8" s="112">
        <f t="shared" ref="FG8:FG12" si="32">FE8-($B$5*FF8)</f>
        <v>5</v>
      </c>
      <c r="FH8" s="182" t="s">
        <v>12</v>
      </c>
      <c r="FI8" s="219">
        <f>IF(FH8="Out", VALUE($C8), IF(OR(FK$3="", FK$4=""),"", IF(FH8=FH$3, IF(FI$3=FK$3, $B$3, IF(FI$3&gt;FK$3, $B$2, $B$4)),
 IF(FH8=FJ$3, IF(FK$3=FI$3, $B$3, IF(FK$3&gt;FI$3, $B$2, $B$4)),
 IF(FH8=FH$4, IF(FI$4=FK$4, $B$3, IF(FI$4&gt;FK$4, $B$2, $B$4)),
 IF(FH8=FJ$4, IF(FK$4=FI$4, $B$3, IF(FK$4&gt;FI$4, $B$2, $B$4)), ""))))))</f>
        <v>6</v>
      </c>
      <c r="FJ8" s="182">
        <v>2</v>
      </c>
      <c r="FK8" s="112">
        <f t="shared" ref="FK8:FK12" si="33">FI8-($B$5*FJ8)</f>
        <v>5</v>
      </c>
      <c r="FL8" s="151">
        <f>SUM(EU8,EY8,FC8,FG8,FK8)</f>
        <v>12.5</v>
      </c>
    </row>
    <row r="9" spans="1:168" x14ac:dyDescent="0.2">
      <c r="A9" t="s">
        <v>98</v>
      </c>
      <c r="B9" t="s">
        <v>99</v>
      </c>
      <c r="C9" s="67">
        <f t="shared" ref="C9:C12" ca="1" si="34">AVERAGEIF($7:$7,"Team Pts",9:9)</f>
        <v>1.8620689655172409</v>
      </c>
      <c r="D9" s="69">
        <f t="shared" ref="D9:D12" ca="1" si="35">AVERAGEIF($7:$7,"GA",9:9)</f>
        <v>3.2857142857142843</v>
      </c>
      <c r="E9" s="1" t="s">
        <v>12</v>
      </c>
      <c r="F9" s="16">
        <f t="shared" ref="F9:F11" si="36">IF(OR(H$3="", H$4=""),"", IF(E9=E$3, IF(F$3=H$3, $B$3, IF(F$3&gt;H$3, $B$2, $B$4)),
 IF(E9=G$3, IF(H$3=F$3, $B$3, IF(H$3&gt;F$3, $B$2, $B$4)),
 IF(E9=E$4, IF(F$4=H$4, $B$3, IF(F$4&gt;H$4, $B$2, $B$4)),
 IF(E9=G$4, IF(H$4=F$4, $B$3, IF(H$4&gt;F$4, $B$2, $B$4)), "")))))</f>
        <v>6</v>
      </c>
      <c r="G9" s="1">
        <v>1</v>
      </c>
      <c r="H9" s="1">
        <f t="shared" ref="H9:H12" si="37">F9-($B$5*G9)</f>
        <v>5.5</v>
      </c>
      <c r="I9" s="15" t="s">
        <v>11</v>
      </c>
      <c r="J9" s="16">
        <f>IF(OR(L$3="", L$4=""),"", IF(I9=I$3, IF(J$3=L$3, $B$3, IF(J$3&gt;L$3, $B$2, $B$4)),
 IF(I9=K$3, IF(L$3=J$3, $B$3, IF(L$3&gt;J$3, $B$2, $B$4)),
 IF(I9=I$4, IF(J$4=L$4, $B$3, IF(J$4&gt;L$4, $B$2, $B$4)),
 IF(I9=K$4, IF(L$4=J$4, $B$3, IF(L$4&gt;J$4, $B$2, $B$4)), "")))))</f>
        <v>0</v>
      </c>
      <c r="K9" s="1">
        <v>7</v>
      </c>
      <c r="L9" s="1">
        <f t="shared" ref="L9:L12" si="38">J9-($B$5*K9)</f>
        <v>-3.5</v>
      </c>
      <c r="M9" s="136" t="s">
        <v>97</v>
      </c>
      <c r="N9" s="53">
        <v>0</v>
      </c>
      <c r="O9" s="56">
        <v>0</v>
      </c>
      <c r="P9" s="56">
        <f t="shared" ref="P9:P12" si="39">N9-($B$5*O9)</f>
        <v>0</v>
      </c>
      <c r="Q9" s="15" t="s">
        <v>15</v>
      </c>
      <c r="R9" s="16">
        <f t="shared" ref="R9:R12" si="40">IF(OR(T$3="", T$4=""),"", IF(Q9=Q$3, IF(R$3=T$3, $B$3, IF(R$3&gt;T$3, $B$2, $B$4)),
 IF(Q9=S$3, IF(T$3=R$3, $B$3, IF(T$3&gt;R$3, $B$2, $B$4)),
 IF(Q9=Q$4, IF(R$4=T$4, $B$3, IF(R$4&gt;T$4, $B$2, $B$4)),
 IF(Q9=S$4, IF(T$4=R$4, $B$3, IF(T$4&gt;R$4, $B$2, $B$4)), "")))))</f>
        <v>6</v>
      </c>
      <c r="S9" s="1">
        <v>3</v>
      </c>
      <c r="T9" s="1">
        <f t="shared" ref="T9:T12" si="41">R9-($B$5*S9)</f>
        <v>4.5</v>
      </c>
      <c r="U9" s="15" t="s">
        <v>14</v>
      </c>
      <c r="V9" s="16">
        <f t="shared" ref="V9:V12" si="42">IF(OR(X$3="", X$4=""),"", IF(U9=U$3, IF(V$3=X$3, $B$3, IF(V$3&gt;X$3, $B$2, $B$4)),
 IF(U9=W$3, IF(X$3=V$3, $B$3, IF(X$3&gt;V$3, $B$2, $B$4)),
 IF(U9=U$4, IF(V$4=X$4, $B$3, IF(V$4&gt;X$4, $B$2, $B$4)),
 IF(U9=W$4, IF(X$4=V$4, $B$3, IF(X$4&gt;V$4, $B$2, $B$4)), "")))))</f>
        <v>6</v>
      </c>
      <c r="W9" s="1">
        <v>3</v>
      </c>
      <c r="X9" s="1">
        <f t="shared" ref="X9:X12" si="43">V9-($B$5*W9)</f>
        <v>4.5</v>
      </c>
      <c r="Y9" s="31">
        <f t="shared" ref="Y9:Y12" si="44">SUM(H9,L9,P9,T9,X9)</f>
        <v>11</v>
      </c>
      <c r="Z9" s="28" t="s">
        <v>11</v>
      </c>
      <c r="AA9" s="16">
        <f t="shared" si="0"/>
        <v>0</v>
      </c>
      <c r="AB9" s="27">
        <v>5</v>
      </c>
      <c r="AC9" s="1">
        <f t="shared" ref="AC9:AC12" si="45">AA9-($B$5*AB9)</f>
        <v>-2.5</v>
      </c>
      <c r="AD9" s="28" t="s">
        <v>12</v>
      </c>
      <c r="AE9" s="16">
        <f>IF(OR(AG$3="", AG$4=""),"", IF(AD9=AD$3, IF(AE$3=AG$3, $B$3, IF(AE$3&gt;AG$3, $B$2, $B$4)),
 IF(AD9=AF$3, IF(AG$3=AE$3, $B$3, IF(AG$3&gt;AE$3, $B$2, $B$4)),
 IF(AD9=AD$4, IF(AE$4=AG$4, $B$3, IF(AE$4&gt;AG$4, $B$2, $B$4)),
 IF(AD9=AF$4, IF(AG$4=AE$4, $B$3, IF(AG$4&gt;AE$4, $B$2, $B$4)), "")))))</f>
        <v>0</v>
      </c>
      <c r="AF9" s="27">
        <v>3</v>
      </c>
      <c r="AG9" s="1">
        <f t="shared" ref="AG9:AG12" si="46">AE9-($B$5*AF9)</f>
        <v>-1.5</v>
      </c>
      <c r="AH9" s="28" t="s">
        <v>15</v>
      </c>
      <c r="AI9" s="16">
        <f t="shared" si="1"/>
        <v>6</v>
      </c>
      <c r="AJ9" s="27">
        <v>1</v>
      </c>
      <c r="AK9" s="1">
        <f t="shared" ref="AK9:AK12" si="47">AI9-($B$5*AJ9)</f>
        <v>5.5</v>
      </c>
      <c r="AL9" s="52" t="s">
        <v>97</v>
      </c>
      <c r="AM9" s="53">
        <v>0</v>
      </c>
      <c r="AN9" s="54">
        <v>0</v>
      </c>
      <c r="AO9" s="56">
        <v>0</v>
      </c>
      <c r="AP9" s="28" t="s">
        <v>15</v>
      </c>
      <c r="AQ9" s="16">
        <f t="shared" si="3"/>
        <v>0</v>
      </c>
      <c r="AR9" s="27">
        <v>5</v>
      </c>
      <c r="AS9" s="17">
        <f t="shared" ref="AS9:AS12" si="48">AQ9-($B$5*AR9)</f>
        <v>-2.5</v>
      </c>
      <c r="AT9" s="94">
        <f t="shared" ref="AT9:AT12" si="49">SUM(AC9,AG9,AK9,AO9,AS9)</f>
        <v>-1</v>
      </c>
      <c r="AU9" s="103" t="s">
        <v>32</v>
      </c>
      <c r="AV9" s="84">
        <f ca="1">IF(AU9="Out", VALUE($C9), IF(OR(AX$3="", AX$4=""),"", IF(AU9=AU$3, IF(AV$3=AX$3, $B$3, IF(AV$3&gt;AX$3, $B$2, $B$4)),
 IF(AU9=AW$3, IF(AX$3=AV$3, $B$3, IF(AX$3&gt;AV$3, $B$2, $B$4)),
 IF(AU9=AU$4, IF(AV$4=AX$4, $B$3, IF(AV$4&gt;AX$4, $B$2, $B$4)),
 IF(AU9=AW$4, IF(AX$4=AV$4, $B$3, IF(AX$4&gt;AV$4, $B$2, $B$4)), ""))))))</f>
        <v>1.8620689655172409</v>
      </c>
      <c r="AW9" s="85">
        <f ca="1">IF(AU9="Out", $D9)</f>
        <v>3.2857142857142843</v>
      </c>
      <c r="AX9" s="113">
        <f t="shared" ref="AX9:AX13" ca="1" si="50">AV9-($B$5*AW9)</f>
        <v>0.21921182266009875</v>
      </c>
      <c r="AY9" s="56" t="s">
        <v>97</v>
      </c>
      <c r="AZ9" s="130">
        <v>0</v>
      </c>
      <c r="BA9" s="131">
        <v>0</v>
      </c>
      <c r="BB9" s="144">
        <f t="shared" ref="BB9:BB10" si="51">AZ9-($B$5*BA9)</f>
        <v>0</v>
      </c>
      <c r="BC9" s="103" t="s">
        <v>32</v>
      </c>
      <c r="BD9" s="84">
        <f ca="1">IF(BC9="Out", VALUE($C9), IF(OR(BF$3="", BF$4=""),"", IF(BC9=BC$3, IF(BD$3=BF$3, $B$3, IF(BD$3&gt;BF$3, $B$2, $B$4)),
 IF(BC9=BE$3, IF(BF$3=BD$3, $B$3, IF(BF$3&gt;BD$3, $B$2, $B$4)),
 IF(BC9=BC$4, IF(BD$4=BF$4, $B$3, IF(BD$4&gt;BF$4, $B$2, $B$4)),
 IF(BC9=BE$4, IF(BF$4=BD$4, $B$3, IF(BF$4&gt;BD$4, $B$2, $B$4)), ""))))))</f>
        <v>1.8620689655172409</v>
      </c>
      <c r="BE9" s="85">
        <f ca="1">IF(BC9="Out", $D9)</f>
        <v>3.2857142857142843</v>
      </c>
      <c r="BF9" s="113">
        <f t="shared" ref="BF9" ca="1" si="52">BD9-($B$5*BE9)</f>
        <v>0.21921182266009875</v>
      </c>
      <c r="BG9" s="42" t="s">
        <v>32</v>
      </c>
      <c r="BH9" s="84">
        <f ca="1">IF(BG9="Out", VALUE($C9), IF(OR(BJ$3="", BJ$4=""),"", IF(BG9=BG$3, IF(BH$3=BJ$3, $B$3, IF(BH$3&gt;BJ$3, $B$2, $B$4)),
 IF(BG9=BI$3, IF(BJ$3=BH$3, $B$3, IF(BJ$3&gt;BH$3, $B$2, $B$4)),
 IF(BG9=BG$4, IF(BH$4=BJ$4, $B$3, IF(BH$4&gt;BJ$4, $B$2, $B$4)),
 IF(BG9=BI$4, IF(BJ$4=BH$4, $B$3, IF(BJ$4&gt;BH$4, $B$2, $B$4)), ""))))))</f>
        <v>1.8620689655172409</v>
      </c>
      <c r="BI9" s="85">
        <f ca="1">IF(BG9="Out", $D9)</f>
        <v>3.2857142857142843</v>
      </c>
      <c r="BJ9" s="113">
        <f t="shared" ref="BJ9:BJ10" ca="1" si="53">BH9-($B$5*BI9)</f>
        <v>0.21921182266009875</v>
      </c>
      <c r="BK9" s="103" t="s">
        <v>32</v>
      </c>
      <c r="BL9" s="84">
        <f ca="1">IF(BK9="Out", VALUE($C9), IF(OR(BN$3="", BN$4=""),"", IF(BK9=BK$3, IF(BL$3=BN$3, $B$3, IF(BL$3&gt;BN$3, $B$2, $B$4)),
 IF(BK9=BM$3, IF(BN$3=BL$3, $B$3, IF(BN$3&gt;BL$3, $B$2, $B$4)),
 IF(BK9=BK$4, IF(BL$4=BN$4, $B$3, IF(BL$4&gt;BN$4, $B$2, $B$4)),
 IF(BK9=BM$4, IF(BN$4=BL$4, $B$3, IF(BN$4&gt;BL$4, $B$2, $B$4)), ""))))))</f>
        <v>1.8620689655172409</v>
      </c>
      <c r="BM9" s="85">
        <f ca="1">IF(BK9="Out", $D9)</f>
        <v>3.2857142857142843</v>
      </c>
      <c r="BN9" s="113">
        <f t="shared" ref="BN9:BN10" ca="1" si="54">BL9-($B$5*BM9)</f>
        <v>0.21921182266009875</v>
      </c>
      <c r="BO9" s="149">
        <f t="shared" ref="BO9:BO12" ca="1" si="55">SUM(AX9,BB9,BF9,BJ9,BN9)</f>
        <v>0.87684729064039502</v>
      </c>
      <c r="BP9" s="98" t="s">
        <v>15</v>
      </c>
      <c r="BQ9" s="16">
        <f t="shared" ref="BQ9:BQ12" si="56">IF(OR(BS$3="", BS$4=""),"", IF(BP9=BP$3, IF(BQ$3=BS$3, $B$3, IF(BQ$3&gt;BS$3, $B$2, $B$4)),
 IF(BP9=BR$3, IF(BS$3=BQ$3, $B$3, IF(BS$3&gt;BQ$3, $B$2, $B$4)),
 IF(BP9=BP$4, IF(BQ$4=BS$4, $B$3, IF(BQ$4&gt;BS$4, $B$2, $B$4)),
 IF(BP9=BR$4, IF(BS$4=BQ$4, $B$3, IF(BS$4&gt;BQ$4, $B$2, $B$4)), "")))))</f>
        <v>0</v>
      </c>
      <c r="BR9" s="1">
        <v>5</v>
      </c>
      <c r="BS9" s="112">
        <f t="shared" si="12"/>
        <v>-2.5</v>
      </c>
      <c r="BT9" s="1" t="s">
        <v>15</v>
      </c>
      <c r="BU9" s="16">
        <f t="shared" si="13"/>
        <v>0</v>
      </c>
      <c r="BV9" s="1">
        <v>5</v>
      </c>
      <c r="BW9" s="78">
        <f t="shared" si="14"/>
        <v>-2.5</v>
      </c>
      <c r="BX9" s="98" t="s">
        <v>12</v>
      </c>
      <c r="BY9" s="16">
        <f t="shared" si="15"/>
        <v>6</v>
      </c>
      <c r="BZ9" s="1">
        <v>4</v>
      </c>
      <c r="CA9" s="78">
        <f t="shared" si="16"/>
        <v>4</v>
      </c>
      <c r="CB9" s="115" t="s">
        <v>97</v>
      </c>
      <c r="CC9" s="53">
        <v>0</v>
      </c>
      <c r="CD9" s="56"/>
      <c r="CE9" s="165">
        <f t="shared" si="18"/>
        <v>0</v>
      </c>
      <c r="CF9" s="98" t="s">
        <v>11</v>
      </c>
      <c r="CG9" s="16">
        <f t="shared" si="19"/>
        <v>6</v>
      </c>
      <c r="CH9" s="1">
        <v>2</v>
      </c>
      <c r="CI9" s="78">
        <f t="shared" si="20"/>
        <v>5</v>
      </c>
      <c r="CJ9" s="170">
        <f t="shared" ref="CJ9:CJ12" si="57">SUM(BS9,BW9,CA9,CE9,CI9)</f>
        <v>4</v>
      </c>
      <c r="CK9" s="98" t="s">
        <v>11</v>
      </c>
      <c r="CL9" s="16">
        <f t="shared" ref="CL9:CL12" si="58">IF(OR(CN$3="", CN$4=""),"", IF(CK9=CK$3, IF(CL$3=CN$3, $B$3, IF(CL$3&gt;CN$3, $B$2, $B$4)),
 IF(CK9=CM$3, IF(CN$3=CL$3, $B$3, IF(CN$3&gt;CL$3, $B$2, $B$4)),
 IF(CK9=CK$4, IF(CL$4=CN$4, $B$3, IF(CL$4&gt;CN$4, $B$2, $B$4)),
 IF(CK9=CM$4, IF(CN$4=CL$4, $B$3, IF(CN$4&gt;CL$4, $B$2, $B$4)), "")))))</f>
        <v>0</v>
      </c>
      <c r="CM9" s="1">
        <v>4</v>
      </c>
      <c r="CN9" s="112">
        <f t="shared" ref="CN9:CN12" si="59">CL9-($B$5*CM9)</f>
        <v>-2</v>
      </c>
      <c r="CO9" s="56" t="s">
        <v>97</v>
      </c>
      <c r="CP9" s="53">
        <v>0</v>
      </c>
      <c r="CQ9" s="56">
        <v>0</v>
      </c>
      <c r="CR9" s="165">
        <f t="shared" ref="CR9:CR12" si="60">CP9-($B$5*CQ9)</f>
        <v>0</v>
      </c>
      <c r="CS9" s="98" t="s">
        <v>11</v>
      </c>
      <c r="CT9" s="16">
        <f t="shared" ref="CT9:CT12" si="61">IF(OR(CV$3="", CV$4=""),"", IF(CS9=CS$3, IF(CT$3=CV$3, $B$3, IF(CT$3&gt;CV$3, $B$2, $B$4)),
 IF(CS9=CU$3, IF(CV$3=CT$3, $B$3, IF(CV$3&gt;CT$3, $B$2, $B$4)),
 IF(CS9=CS$4, IF(CT$4=CV$4, $B$3, IF(CT$4&gt;CV$4, $B$2, $B$4)),
 IF(CS9=CU$4, IF(CV$4=CT$4, $B$3, IF(CV$4&gt;CT$4, $B$2, $B$4)), "")))))</f>
        <v>2</v>
      </c>
      <c r="CU9" s="1">
        <v>5</v>
      </c>
      <c r="CV9" s="112">
        <f t="shared" ref="CV9:CV12" si="62">CT9-($B$5*CU9)</f>
        <v>-0.5</v>
      </c>
      <c r="CW9" s="1" t="s">
        <v>12</v>
      </c>
      <c r="CX9" s="16">
        <f t="shared" ref="CX9:CX12" si="63">IF(OR(CZ$3="", CZ$4=""),"", IF(CW9=CW$3, IF(CX$3=CZ$3, $B$3, IF(CX$3&gt;CZ$3, $B$2, $B$4)),
 IF(CW9=CY$3, IF(CZ$3=CX$3, $B$3, IF(CZ$3&gt;CX$3, $B$2, $B$4)),
 IF(CW9=CW$4, IF(CX$4=CZ$4, $B$3, IF(CX$4&gt;CZ$4, $B$2, $B$4)),
 IF(CW9=CY$4, IF(CZ$4=CX$4, $B$3, IF(CZ$4&gt;CX$4, $B$2, $B$4)), "")))))</f>
        <v>0</v>
      </c>
      <c r="CY9" s="1">
        <v>5</v>
      </c>
      <c r="CZ9" s="78">
        <f t="shared" ref="CZ9:CZ12" si="64">CX9-($B$5*CY9)</f>
        <v>-2.5</v>
      </c>
      <c r="DA9" s="98" t="s">
        <v>15</v>
      </c>
      <c r="DB9" s="16">
        <f t="shared" ref="DB9:DB11" si="65">IF(OR(DD$3="", DD$4=""),"", IF(DA9=DA$3, IF(DB$3=DD$3, $B$3, IF(DB$3&gt;DD$3, $B$2, $B$4)),
 IF(DA9=DC$3, IF(DD$3=DB$3, $B$3, IF(DD$3&gt;DB$3, $B$2, $B$4)),
 IF(DA9=DA$4, IF(DB$4=DD$4, $B$3, IF(DB$4&gt;DD$4, $B$2, $B$4)),
 IF(DA9=DC$4, IF(DD$4=DB$4, $B$3, IF(DD$4&gt;DB$4, $B$2, $B$4)), "")))))</f>
        <v>2</v>
      </c>
      <c r="DC9" s="1">
        <v>6</v>
      </c>
      <c r="DD9" s="112">
        <f t="shared" ref="DD9:DD12" si="66">DB9-($B$5*DC9)</f>
        <v>-1</v>
      </c>
      <c r="DE9" s="151">
        <f t="shared" ref="DE9:DE12" si="67">SUM(CN9,CR9,CV9,CZ9,DD9)</f>
        <v>-6</v>
      </c>
      <c r="DF9" s="56" t="s">
        <v>97</v>
      </c>
      <c r="DG9" s="53">
        <v>0</v>
      </c>
      <c r="DH9" s="56">
        <v>0</v>
      </c>
      <c r="DI9" s="144">
        <f t="shared" ref="DI9:DI12" si="68">DG9-($B$5*DH9)</f>
        <v>0</v>
      </c>
      <c r="DJ9" s="42" t="s">
        <v>32</v>
      </c>
      <c r="DK9" s="84">
        <f ca="1">IF(DJ9="Out", VALUE($C9), IF(OR(DM$3="", DM$4=""),"", IF(DJ9=DJ$3, IF(DK$3=DM$3, $B$3, IF(DK$3&gt;DM$3, $B$2, $B$4)),
 IF(DJ9=DL$3, IF(DM$3=DK$3, $B$3, IF(DM$3&gt;DK$3, $B$2, $B$4)),
 IF(DJ9=DJ$4, IF(DK$4=DM$4, $B$3, IF(DK$4&gt;DM$4, $B$2, $B$4)),
 IF(DJ9=DL$4, IF(DM$4=DK$4, $B$3, IF(DM$4&gt;DK$4, $B$2, $B$4)), ""))))))</f>
        <v>1.8620689655172409</v>
      </c>
      <c r="DL9" s="85">
        <f ca="1">IF(DJ9="Out", $D9)</f>
        <v>3.2857142857142843</v>
      </c>
      <c r="DM9" s="113">
        <f t="shared" ref="DM9:DM12" ca="1" si="69">DK9-($B$5*DL9)</f>
        <v>0.21921182266009875</v>
      </c>
      <c r="DN9" s="42" t="s">
        <v>32</v>
      </c>
      <c r="DO9" s="84">
        <f ca="1">IF(DN9="Out", VALUE($C9), IF(OR(DQ$3="", DQ$4=""),"", IF(DN9=DN$3, IF(DO$3=DQ$3, $B$3, IF(DO$3&gt;DQ$3, $B$2, $B$4)),
 IF(DN9=DP$3, IF(DQ$3=DO$3, $B$3, IF(DQ$3&gt;DO$3, $B$2, $B$4)),
 IF(DN9=DN$4, IF(DO$4=DQ$4, $B$3, IF(DO$4&gt;DQ$4, $B$2, $B$4)),
 IF(DN9=DP$4, IF(DQ$4=DO$4, $B$3, IF(DQ$4&gt;DO$4, $B$2, $B$4)), ""))))))</f>
        <v>1.8620689655172409</v>
      </c>
      <c r="DP9" s="85">
        <f ca="1">IF(DN9="Out", $D9)</f>
        <v>3.2857142857142843</v>
      </c>
      <c r="DQ9" s="113">
        <f t="shared" ref="DQ9:DQ12" ca="1" si="70">DO9-($B$5*DP9)</f>
        <v>0.21921182266009875</v>
      </c>
      <c r="DR9" s="1" t="s">
        <v>12</v>
      </c>
      <c r="DS9" s="16">
        <f t="shared" ref="DS9:DS12" si="71">IF(OR(DU$3="", DU$4=""),"", IF(DR9=DR$3, IF(DS$3=DU$3, $B$3, IF(DS$3&gt;DU$3, $B$2, $B$4)),
 IF(DR9=DT$3, IF(DU$3=DS$3, $B$3, IF(DU$3&gt;DS$3, $B$2, $B$4)),
 IF(DR9=DR$4, IF(DS$4=DU$4, $B$3, IF(DS$4&gt;DU$4, $B$2, $B$4)),
 IF(DR9=DT$4, IF(DU$4=DS$4, $B$3, IF(DU$4&gt;DS$4, $B$2, $B$4)), "")))))</f>
        <v>0</v>
      </c>
      <c r="DT9" s="1">
        <v>6</v>
      </c>
      <c r="DU9" s="112">
        <f t="shared" ref="DU9:DU12" si="72">DS9-($B$5*DT9)</f>
        <v>-3</v>
      </c>
      <c r="DV9" s="1" t="s">
        <v>14</v>
      </c>
      <c r="DW9" s="16">
        <f t="shared" ref="DW9:DW12" si="73">IF(OR(DY$3="", DY$4=""),"", IF(DV9=DV$3, IF(DW$3=DY$3, $B$3, IF(DW$3&gt;DY$3, $B$2, $B$4)),
 IF(DV9=DX$3, IF(DY$3=DW$3, $B$3, IF(DY$3&gt;DW$3, $B$2, $B$4)),
 IF(DV9=DV$4, IF(DW$4=DY$4, $B$3, IF(DW$4&gt;DY$4, $B$2, $B$4)),
 IF(DV9=DX$4, IF(DY$4=DW$4, $B$3, IF(DY$4&gt;DW$4, $B$2, $B$4)), "")))))</f>
        <v>6</v>
      </c>
      <c r="DX9" s="1">
        <v>4</v>
      </c>
      <c r="DY9" s="112">
        <f t="shared" ref="DY9:DY12" si="74">DW9-($B$5*DX9)</f>
        <v>4</v>
      </c>
      <c r="DZ9" s="151">
        <f t="shared" ref="DZ9:DZ12" ca="1" si="75">SUM(DI9,DM9,DQ9,DU9,DY9)</f>
        <v>1.4384236453201975</v>
      </c>
      <c r="EA9" s="98" t="s">
        <v>11</v>
      </c>
      <c r="EB9" s="197">
        <f t="shared" ref="EB8:EB12" si="76">IF(OR(ED$3="", ED$4=""),"", IF(EA9=EA$3, IF(EB$3=ED$3, $B$3, IF(EB$3&gt;ED$3, $B$2, $B$4)),
 IF(EA9=EC$3, IF(ED$3=EB$3, $B$3, IF(ED$3&gt;EB$3, $B$2, $B$4)),
 IF(EA9=EA$4, IF(EB$4=ED$4, $B$3, IF(EB$4&gt;ED$4, $B$2, $B$4)),
 IF(EA9=EC$4, IF(ED$4=EB$4, $B$3, IF(ED$4&gt;EB$4, $B$2, $B$4)), "")))))</f>
        <v>2</v>
      </c>
      <c r="EC9" s="182">
        <v>8</v>
      </c>
      <c r="ED9" s="112">
        <f t="shared" si="21"/>
        <v>-2</v>
      </c>
      <c r="EE9" s="182" t="s">
        <v>12</v>
      </c>
      <c r="EF9" s="197">
        <f t="shared" si="22"/>
        <v>0</v>
      </c>
      <c r="EG9" s="182">
        <v>5</v>
      </c>
      <c r="EH9" s="112">
        <f t="shared" si="23"/>
        <v>-2.5</v>
      </c>
      <c r="EI9" s="182" t="s">
        <v>12</v>
      </c>
      <c r="EJ9" s="197">
        <f t="shared" si="24"/>
        <v>0</v>
      </c>
      <c r="EK9" s="182">
        <v>2</v>
      </c>
      <c r="EL9" s="112">
        <f t="shared" si="25"/>
        <v>-1</v>
      </c>
      <c r="EM9" s="196" t="s">
        <v>97</v>
      </c>
      <c r="EN9" s="195">
        <v>0</v>
      </c>
      <c r="EO9" s="196">
        <v>0</v>
      </c>
      <c r="EP9" s="144">
        <f t="shared" si="27"/>
        <v>0</v>
      </c>
      <c r="EQ9" s="182" t="s">
        <v>12</v>
      </c>
      <c r="ER9" s="197">
        <f t="shared" si="28"/>
        <v>6</v>
      </c>
      <c r="ES9" s="182">
        <v>3</v>
      </c>
      <c r="ET9" s="112">
        <f t="shared" si="29"/>
        <v>4.5</v>
      </c>
      <c r="EU9" s="151">
        <f t="shared" ref="EU9:EU12" si="77">SUM(ED9,EH9,EL9,EP9,ET9)</f>
        <v>-1</v>
      </c>
      <c r="EV9" s="103" t="s">
        <v>32</v>
      </c>
      <c r="EW9" s="198">
        <f t="shared" ref="EW9:EW12" ca="1" si="78">IF(EV9="Out", VALUE($C9), IF(OR(EY$3="", EY$4=""),"", IF(EV9=EV$3, IF(EW$3=EY$3, $B$3, IF(EW$3&gt;EY$3, $B$2, $B$4)),
 IF(EV9=EX$3, IF(EY$3=EW$3, $B$3, IF(EY$3&gt;EW$3, $B$2, $B$4)),
 IF(EV9=EV$4, IF(EW$4=EY$4, $B$3, IF(EW$4&gt;EY$4, $B$2, $B$4)),
 IF(EV9=EX$4, IF(EY$4=EW$4, $B$3, IF(EY$4&gt;EW$4, $B$2, $B$4)), ""))))))</f>
        <v>1.8620689655172409</v>
      </c>
      <c r="EX9" s="199">
        <f ca="1">IF(EV9="Out", $D9)</f>
        <v>3.2857142857142843</v>
      </c>
      <c r="EY9" s="113">
        <f t="shared" ca="1" si="30"/>
        <v>0.21921182266009875</v>
      </c>
      <c r="EZ9" s="200" t="s">
        <v>32</v>
      </c>
      <c r="FA9" s="198">
        <f t="shared" ref="FA9:FA12" ca="1" si="79">IF(EZ9="Out", VALUE($C9), IF(OR(FC$3="", FC$4=""),"", IF(EZ9=EZ$3, IF(FA$3=FC$3, $B$3, IF(FA$3&gt;FC$3, $B$2, $B$4)),
 IF(EZ9=FB$3, IF(FC$3=FA$3, $B$3, IF(FC$3&gt;FA$3, $B$2, $B$4)),
 IF(EZ9=EZ$4, IF(FA$4=FC$4, $B$3, IF(FA$4&gt;FC$4, $B$2, $B$4)),
 IF(EZ9=FB$4, IF(FC$4=FA$4, $B$3, IF(FC$4&gt;FA$4, $B$2, $B$4)), ""))))))</f>
        <v>1.8620689655172409</v>
      </c>
      <c r="FB9" s="199">
        <f ca="1">IF(EZ9="Out", $D9)</f>
        <v>3.2857142857142843</v>
      </c>
      <c r="FC9" s="113">
        <f t="shared" ca="1" si="31"/>
        <v>0.21921182266009875</v>
      </c>
      <c r="FD9" s="200" t="s">
        <v>32</v>
      </c>
      <c r="FE9" s="198">
        <f t="shared" ref="FE9:FE12" ca="1" si="80">IF(FD9="Out", VALUE($C9), IF(OR(FG$3="", FG$4=""),"", IF(FD9=FD$3, IF(FE$3=FG$3, $B$3, IF(FE$3&gt;FG$3, $B$2, $B$4)),
 IF(FD9=FF$3, IF(FG$3=FE$3, $B$3, IF(FG$3&gt;FE$3, $B$2, $B$4)),
 IF(FD9=FD$4, IF(FE$4=FG$4, $B$3, IF(FE$4&gt;FG$4, $B$2, $B$4)),
 IF(FD9=FF$4, IF(FG$4=FE$4, $B$3, IF(FG$4&gt;FE$4, $B$2, $B$4)), ""))))))</f>
        <v>1.8620689655172409</v>
      </c>
      <c r="FF9" s="199">
        <f ca="1">IF(FD9="Out", $D9)</f>
        <v>3.2857142857142843</v>
      </c>
      <c r="FG9" s="113">
        <f t="shared" ca="1" si="32"/>
        <v>0.21921182266009875</v>
      </c>
      <c r="FH9" s="200" t="s">
        <v>32</v>
      </c>
      <c r="FI9" s="198">
        <f t="shared" ref="FI9:FI12" ca="1" si="81">IF(FH9="Out", VALUE($C9), IF(OR(FK$3="", FK$4=""),"", IF(FH9=FH$3, IF(FI$3=FK$3, $B$3, IF(FI$3&gt;FK$3, $B$2, $B$4)),
 IF(FH9=FJ$3, IF(FK$3=FI$3, $B$3, IF(FK$3&gt;FI$3, $B$2, $B$4)),
 IF(FH9=FH$4, IF(FI$4=FK$4, $B$3, IF(FI$4&gt;FK$4, $B$2, $B$4)),
 IF(FH9=FJ$4, IF(FK$4=FI$4, $B$3, IF(FK$4&gt;FI$4, $B$2, $B$4)), ""))))))</f>
        <v>1.8620689655172409</v>
      </c>
      <c r="FJ9" s="199">
        <f ca="1">IF(FH9="Out", $D9)</f>
        <v>3.2857142857142843</v>
      </c>
      <c r="FK9" s="113">
        <f t="shared" ca="1" si="33"/>
        <v>0.21921182266009875</v>
      </c>
      <c r="FL9" s="151">
        <f t="shared" ref="FL9:FL12" ca="1" si="82">SUM(EU9,EY9,FC9,FG9,FK9)</f>
        <v>-0.12315270935960498</v>
      </c>
    </row>
    <row r="10" spans="1:168" x14ac:dyDescent="0.2">
      <c r="A10" t="s">
        <v>100</v>
      </c>
      <c r="B10" t="s">
        <v>101</v>
      </c>
      <c r="C10" s="67">
        <f t="shared" ca="1" si="34"/>
        <v>2.2222222222222223</v>
      </c>
      <c r="D10" s="69">
        <f t="shared" ca="1" si="35"/>
        <v>3.2222222222222223</v>
      </c>
      <c r="E10" s="1" t="s">
        <v>14</v>
      </c>
      <c r="F10" s="16">
        <f t="shared" si="36"/>
        <v>6</v>
      </c>
      <c r="G10" s="1">
        <v>1</v>
      </c>
      <c r="H10" s="1">
        <f t="shared" si="37"/>
        <v>5.5</v>
      </c>
      <c r="I10" s="15" t="s">
        <v>12</v>
      </c>
      <c r="J10" s="16">
        <f t="shared" ref="J10:J12" si="83">IF(OR(L$3="", L$4=""),"", IF(I10=I$3, IF(J$3=L$3, $B$3, IF(J$3&gt;L$3, $B$2, $B$4)),
 IF(I10=K$3, IF(L$3=J$3, $B$3, IF(L$3&gt;J$3, $B$2, $B$4)),
 IF(I10=I$4, IF(J$4=L$4, $B$3, IF(J$4&gt;L$4, $B$2, $B$4)),
 IF(I10=K$4, IF(L$4=J$4, $B$3, IF(L$4&gt;J$4, $B$2, $B$4)), "")))))</f>
        <v>6</v>
      </c>
      <c r="K10" s="1">
        <v>2</v>
      </c>
      <c r="L10" s="1">
        <f t="shared" si="38"/>
        <v>5</v>
      </c>
      <c r="M10" s="15" t="s">
        <v>11</v>
      </c>
      <c r="N10" s="16">
        <f t="shared" ref="N10:N12" si="84">IF(OR(P$3="", P$4=""),"", IF(M10=M$3, IF(N$3=P$3, $B$3, IF(N$3&gt;P$3, $B$2, $B$4)),
 IF(M10=O$3, IF(P$3=N$3, $B$3, IF(P$3&gt;N$3, $B$2, $B$4)),
 IF(M10=M$4, IF(N$4=P$4, $B$3, IF(N$4&gt;P$4, $B$2, $B$4)),
 IF(M10=O$4, IF(P$4=N$4, $B$3, IF(P$4&gt;N$4, $B$2, $B$4)), "")))))</f>
        <v>0</v>
      </c>
      <c r="O10" s="1">
        <v>4</v>
      </c>
      <c r="P10" s="1">
        <f t="shared" si="39"/>
        <v>-2</v>
      </c>
      <c r="Q10" s="136" t="s">
        <v>97</v>
      </c>
      <c r="R10" s="53">
        <v>0</v>
      </c>
      <c r="S10" s="56">
        <v>0</v>
      </c>
      <c r="T10" s="56">
        <f t="shared" si="41"/>
        <v>0</v>
      </c>
      <c r="U10" s="15" t="s">
        <v>15</v>
      </c>
      <c r="V10" s="16">
        <f t="shared" si="42"/>
        <v>0</v>
      </c>
      <c r="W10" s="1">
        <v>5</v>
      </c>
      <c r="X10" s="1">
        <f t="shared" si="43"/>
        <v>-2.5</v>
      </c>
      <c r="Y10" s="31">
        <f t="shared" si="44"/>
        <v>6</v>
      </c>
      <c r="Z10" s="28" t="s">
        <v>12</v>
      </c>
      <c r="AA10" s="16">
        <f t="shared" si="0"/>
        <v>6</v>
      </c>
      <c r="AB10" s="27">
        <v>3</v>
      </c>
      <c r="AC10" s="1">
        <f t="shared" si="45"/>
        <v>4.5</v>
      </c>
      <c r="AD10" s="28" t="s">
        <v>15</v>
      </c>
      <c r="AE10" s="16">
        <f t="shared" ref="AE10:AE12" si="85">IF(OR(AG$3="", AG$4=""),"", IF(AD10=AD$3, IF(AE$3=AG$3, $B$3, IF(AE$3&gt;AG$3, $B$2, $B$4)),
 IF(AD10=AF$3, IF(AG$3=AE$3, $B$3, IF(AG$3&gt;AE$3, $B$2, $B$4)),
 IF(AD10=AD$4, IF(AE$4=AG$4, $B$3, IF(AE$4&gt;AG$4, $B$2, $B$4)),
 IF(AD10=AF$4, IF(AG$4=AE$4, $B$3, IF(AG$4&gt;AE$4, $B$2, $B$4)), "")))))</f>
        <v>6</v>
      </c>
      <c r="AF10" s="27">
        <v>4</v>
      </c>
      <c r="AG10" s="1">
        <f t="shared" si="46"/>
        <v>4</v>
      </c>
      <c r="AH10" s="52" t="s">
        <v>97</v>
      </c>
      <c r="AI10" s="53">
        <v>0</v>
      </c>
      <c r="AJ10" s="54">
        <v>0</v>
      </c>
      <c r="AK10" s="56">
        <f t="shared" si="47"/>
        <v>0</v>
      </c>
      <c r="AL10" s="39" t="s">
        <v>32</v>
      </c>
      <c r="AM10" s="84">
        <f ca="1">IF(AL10="Out", VALUE($C10), IF(OR(AO$3="", AO$4=""),"", IF(AL10=AL$3, IF(AM$3=AO$3, $B$3, IF(AM$3&gt;AO$3, $B$2, $B$4)),
 IF(AL10=AN$3, IF(AO$3=AM$3, $B$3, IF(AO$3&gt;AM$3, $B$2, $B$4)),
 IF(AL10=AL$4, IF(AM$4=AO$4, $B$3, IF(AM$4&gt;AO$4, $B$2, $B$4)),
 IF(AL10=AN$4, IF(AO$4=AM$4, $B$3, IF(AO$4&gt;AM$4, $B$2, $B$4)), ""))))))</f>
        <v>2.2222222222222223</v>
      </c>
      <c r="AN10" s="85">
        <f ca="1">IF(AL10="Out", $D10)</f>
        <v>3.2222222222222223</v>
      </c>
      <c r="AO10" s="42">
        <f ca="1">AM10-($B$5*AN10)</f>
        <v>0.61111111111111116</v>
      </c>
      <c r="AP10" s="39" t="s">
        <v>32</v>
      </c>
      <c r="AQ10" s="84">
        <f ca="1">IF(AP10="Out", VALUE($C10), IF(OR(AS$3="", AS$4=""),"", IF(AP10=AP$3, IF(AQ$3=AS$3, $B$3, IF(AQ$3&gt;AS$3, $B$2, $B$4)),
 IF(AP10=AR$3, IF(AS$3=AQ$3, $B$3, IF(AS$3&gt;AQ$3, $B$2, $B$4)),
 IF(AP10=AP$4, IF(AQ$4=AS$4, $B$3, IF(AQ$4&gt;AS$4, $B$2, $B$4)),
 IF(AP10=AR$4, IF(AS$4=AQ$4, $B$3, IF(AS$4&gt;AQ$4, $B$2, $B$4)), ""))))))</f>
        <v>2.2222222222222223</v>
      </c>
      <c r="AR10" s="85">
        <f ca="1">IF(AP10="Out", $D10)</f>
        <v>3.2222222222222223</v>
      </c>
      <c r="AS10" s="43">
        <f t="shared" ca="1" si="48"/>
        <v>0.61111111111111116</v>
      </c>
      <c r="AT10" s="94">
        <f t="shared" ca="1" si="49"/>
        <v>9.7222222222222214</v>
      </c>
      <c r="AU10" s="98" t="s">
        <v>11</v>
      </c>
      <c r="AV10" s="16">
        <f t="shared" ref="AV10" si="86">IF(OR(AX$3="", AX$4=""),"", IF(AU10=AU$3, IF(AV$3=AX$3, $B$3, IF(AV$3&gt;AX$3, $B$2, $B$4)),
 IF(AU10=AW$3, IF(AX$3=AV$3, $B$3, IF(AX$3&gt;AV$3, $B$2, $B$4)),
 IF(AU10=AU$4, IF(AV$4=AX$4, $B$3, IF(AV$4&gt;AX$4, $B$2, $B$4)),
 IF(AU10=AW$4, IF(AX$4=AV$4, $B$3, IF(AX$4&gt;AV$4, $B$2, $B$4)), "")))))</f>
        <v>0</v>
      </c>
      <c r="AW10" s="1">
        <v>5</v>
      </c>
      <c r="AX10" s="112">
        <f t="shared" si="50"/>
        <v>-2.5</v>
      </c>
      <c r="AY10" s="1" t="s">
        <v>15</v>
      </c>
      <c r="AZ10" s="16">
        <f t="shared" ref="AZ10" si="87">IF(OR(BB$3="", BB$4=""),"", IF(AY10=AY$3, IF(AZ$3=BB$3, $B$3, IF(AZ$3&gt;BB$3, $B$2, $B$4)),
 IF(AY10=BA$3, IF(BB$3=AZ$3, $B$3, IF(BB$3&gt;AZ$3, $B$2, $B$4)),
 IF(AY10=AY$4, IF(AZ$4=BB$4, $B$3, IF(AZ$4&gt;BB$4, $B$2, $B$4)),
 IF(AY10=BA$4, IF(BB$4=AZ$4, $B$3, IF(BB$4&gt;AZ$4, $B$2, $B$4)), "")))))</f>
        <v>0</v>
      </c>
      <c r="BA10" s="1">
        <v>8</v>
      </c>
      <c r="BB10" s="112">
        <f t="shared" si="51"/>
        <v>-4</v>
      </c>
      <c r="BC10" s="115" t="s">
        <v>97</v>
      </c>
      <c r="BD10" s="53">
        <v>0</v>
      </c>
      <c r="BE10" s="56">
        <v>0</v>
      </c>
      <c r="BF10" s="144">
        <f>BD10-($B$5*BE10)</f>
        <v>0</v>
      </c>
      <c r="BG10" s="1" t="s">
        <v>15</v>
      </c>
      <c r="BH10" s="16">
        <f t="shared" ref="BH10" si="88">IF(OR(BJ$3="", BJ$4=""),"", IF(BG10=BG$3, IF(BH$3=BJ$3, $B$3, IF(BH$3&gt;BJ$3, $B$2, $B$4)),
 IF(BG10=BI$3, IF(BJ$3=BH$3, $B$3, IF(BJ$3&gt;BH$3, $B$2, $B$4)),
 IF(BG10=BG$4, IF(BH$4=BJ$4, $B$3, IF(BH$4&gt;BJ$4, $B$2, $B$4)),
 IF(BG10=BI$4, IF(BJ$4=BH$4, $B$3, IF(BJ$4&gt;BH$4, $B$2, $B$4)), "")))))</f>
        <v>0</v>
      </c>
      <c r="BI10" s="1">
        <v>6</v>
      </c>
      <c r="BJ10" s="112">
        <f t="shared" si="53"/>
        <v>-3</v>
      </c>
      <c r="BK10" s="98" t="s">
        <v>14</v>
      </c>
      <c r="BL10" s="16">
        <f t="shared" ref="BL10" si="89">IF(OR(BN$3="", BN$4=""),"", IF(BK10=BK$3, IF(BL$3=BN$3, $B$3, IF(BL$3&gt;BN$3, $B$2, $B$4)),
 IF(BK10=BM$3, IF(BN$3=BL$3, $B$3, IF(BN$3&gt;BL$3, $B$2, $B$4)),
 IF(BK10=BK$4, IF(BL$4=BN$4, $B$3, IF(BL$4&gt;BN$4, $B$2, $B$4)),
 IF(BK10=BM$4, IF(BN$4=BL$4, $B$3, IF(BN$4&gt;BL$4, $B$2, $B$4)), "")))))</f>
        <v>0</v>
      </c>
      <c r="BM10" s="1">
        <v>6</v>
      </c>
      <c r="BN10" s="112">
        <f t="shared" si="54"/>
        <v>-3</v>
      </c>
      <c r="BO10" s="149">
        <f t="shared" si="55"/>
        <v>-12.5</v>
      </c>
      <c r="BP10" s="98" t="s">
        <v>14</v>
      </c>
      <c r="BQ10" s="16">
        <f t="shared" si="56"/>
        <v>6</v>
      </c>
      <c r="BR10" s="1">
        <v>1</v>
      </c>
      <c r="BS10" s="112">
        <f t="shared" si="12"/>
        <v>5.5</v>
      </c>
      <c r="BT10" s="1" t="s">
        <v>14</v>
      </c>
      <c r="BU10" s="16">
        <f t="shared" si="13"/>
        <v>6</v>
      </c>
      <c r="BV10" s="1">
        <v>1</v>
      </c>
      <c r="BW10" s="78">
        <f t="shared" si="14"/>
        <v>5.5</v>
      </c>
      <c r="BX10" s="98" t="s">
        <v>14</v>
      </c>
      <c r="BY10" s="16">
        <f t="shared" si="15"/>
        <v>0</v>
      </c>
      <c r="BZ10" s="1">
        <v>7</v>
      </c>
      <c r="CA10" s="78">
        <f t="shared" si="16"/>
        <v>-3.5</v>
      </c>
      <c r="CB10" s="98" t="s">
        <v>12</v>
      </c>
      <c r="CC10" s="16">
        <f t="shared" si="17"/>
        <v>0</v>
      </c>
      <c r="CD10" s="1">
        <v>8</v>
      </c>
      <c r="CE10" s="78">
        <f t="shared" si="18"/>
        <v>-4</v>
      </c>
      <c r="CF10" s="115" t="s">
        <v>97</v>
      </c>
      <c r="CG10" s="53">
        <v>0</v>
      </c>
      <c r="CH10" s="56">
        <v>0</v>
      </c>
      <c r="CI10" s="165">
        <f t="shared" si="20"/>
        <v>0</v>
      </c>
      <c r="CJ10" s="170">
        <f t="shared" si="57"/>
        <v>3.5</v>
      </c>
      <c r="CK10" s="98" t="s">
        <v>14</v>
      </c>
      <c r="CL10" s="16">
        <f t="shared" si="58"/>
        <v>0</v>
      </c>
      <c r="CM10" s="1">
        <v>4</v>
      </c>
      <c r="CN10" s="112">
        <f t="shared" si="59"/>
        <v>-2</v>
      </c>
      <c r="CO10" s="1" t="s">
        <v>15</v>
      </c>
      <c r="CP10" s="16">
        <f t="shared" ref="CP10:CP12" si="90">IF(OR(CR$3="", CR$4=""),"", IF(CO10=CO$3, IF(CP$3=CR$3, $B$3, IF(CP$3&gt;CR$3, $B$2, $B$4)),
 IF(CO10=CQ$3, IF(CR$3=CP$3, $B$3, IF(CR$3&gt;CP$3, $B$2, $B$4)),
 IF(CO10=CO$4, IF(CP$4=CR$4, $B$3, IF(CP$4&gt;CR$4, $B$2, $B$4)),
 IF(CO10=CQ$4, IF(CR$4=CP$4, $B$3, IF(CR$4&gt;CP$4, $B$2, $B$4)), "")))))</f>
        <v>6</v>
      </c>
      <c r="CQ10" s="1">
        <v>1</v>
      </c>
      <c r="CR10" s="78">
        <f t="shared" si="60"/>
        <v>5.5</v>
      </c>
      <c r="CS10" s="115" t="s">
        <v>97</v>
      </c>
      <c r="CT10" s="53">
        <v>0</v>
      </c>
      <c r="CU10" s="56">
        <v>0</v>
      </c>
      <c r="CV10" s="144">
        <f t="shared" si="62"/>
        <v>0</v>
      </c>
      <c r="CW10" s="1" t="s">
        <v>14</v>
      </c>
      <c r="CX10" s="16">
        <f t="shared" si="63"/>
        <v>6</v>
      </c>
      <c r="CY10" s="1">
        <v>2</v>
      </c>
      <c r="CZ10" s="78">
        <f t="shared" si="64"/>
        <v>5</v>
      </c>
      <c r="DA10" s="98" t="s">
        <v>11</v>
      </c>
      <c r="DB10" s="16">
        <f t="shared" si="65"/>
        <v>6</v>
      </c>
      <c r="DC10" s="1">
        <v>2</v>
      </c>
      <c r="DD10" s="112">
        <f t="shared" si="66"/>
        <v>5</v>
      </c>
      <c r="DE10" s="151">
        <f t="shared" si="67"/>
        <v>13.5</v>
      </c>
      <c r="DF10" s="1" t="s">
        <v>14</v>
      </c>
      <c r="DG10" s="16">
        <f t="shared" ref="DG9:DG12" si="91">IF(OR(DI$3="", DI$4=""),"", IF(DF10=DF$3, IF(DG$3=DI$3, $B$3, IF(DG$3&gt;DI$3, $B$2, $B$4)),
 IF(DF10=DH$3, IF(DI$3=DG$3, $B$3, IF(DI$3&gt;DG$3, $B$2, $B$4)),
 IF(DF10=DF$4, IF(DG$4=DI$4, $B$3, IF(DG$4&gt;DI$4, $B$2, $B$4)),
 IF(DF10=DH$4, IF(DI$4=DG$4, $B$3, IF(DI$4&gt;DG$4, $B$2, $B$4)), "")))))</f>
        <v>0</v>
      </c>
      <c r="DH10" s="1">
        <v>5</v>
      </c>
      <c r="DI10" s="112">
        <f t="shared" si="68"/>
        <v>-2.5</v>
      </c>
      <c r="DJ10" s="56" t="s">
        <v>97</v>
      </c>
      <c r="DK10" s="53">
        <v>0</v>
      </c>
      <c r="DL10" s="56">
        <v>0</v>
      </c>
      <c r="DM10" s="144">
        <f t="shared" si="69"/>
        <v>0</v>
      </c>
      <c r="DN10" s="1" t="s">
        <v>14</v>
      </c>
      <c r="DO10" s="16">
        <f t="shared" ref="DO9:DO12" si="92">IF(OR(DQ$3="", DQ$4=""),"", IF(DN10=DN$3, IF(DO$3=DQ$3, $B$3, IF(DO$3&gt;DQ$3, $B$2, $B$4)),
 IF(DN10=DP$3, IF(DQ$3=DO$3, $B$3, IF(DQ$3&gt;DO$3, $B$2, $B$4)),
 IF(DN10=DN$4, IF(DO$4=DQ$4, $B$3, IF(DO$4&gt;DQ$4, $B$2, $B$4)),
 IF(DN10=DP$4, IF(DQ$4=DO$4, $B$3, IF(DQ$4&gt;DO$4, $B$2, $B$4)), "")))))</f>
        <v>6</v>
      </c>
      <c r="DP10" s="1">
        <v>3</v>
      </c>
      <c r="DQ10" s="112">
        <f t="shared" si="70"/>
        <v>4.5</v>
      </c>
      <c r="DR10" s="1" t="s">
        <v>15</v>
      </c>
      <c r="DS10" s="16">
        <f t="shared" si="71"/>
        <v>6</v>
      </c>
      <c r="DT10" s="1">
        <v>2</v>
      </c>
      <c r="DU10" s="112">
        <f t="shared" si="72"/>
        <v>5</v>
      </c>
      <c r="DV10" s="1" t="s">
        <v>15</v>
      </c>
      <c r="DW10" s="16">
        <f t="shared" si="73"/>
        <v>0</v>
      </c>
      <c r="DX10" s="1">
        <v>7</v>
      </c>
      <c r="DY10" s="112">
        <f t="shared" si="74"/>
        <v>-3.5</v>
      </c>
      <c r="DZ10" s="151">
        <f t="shared" si="75"/>
        <v>3.5</v>
      </c>
      <c r="EA10" s="98" t="s">
        <v>12</v>
      </c>
      <c r="EB10" s="197">
        <f t="shared" si="76"/>
        <v>2</v>
      </c>
      <c r="EC10" s="182">
        <v>8</v>
      </c>
      <c r="ED10" s="112">
        <f t="shared" si="21"/>
        <v>-2</v>
      </c>
      <c r="EE10" s="182" t="s">
        <v>15</v>
      </c>
      <c r="EF10" s="197">
        <f t="shared" si="22"/>
        <v>6</v>
      </c>
      <c r="EG10" s="182">
        <v>2</v>
      </c>
      <c r="EH10" s="112">
        <f t="shared" si="23"/>
        <v>5</v>
      </c>
      <c r="EI10" s="196" t="s">
        <v>97</v>
      </c>
      <c r="EJ10" s="195">
        <v>0</v>
      </c>
      <c r="EK10" s="196">
        <v>0</v>
      </c>
      <c r="EL10" s="144">
        <f t="shared" si="25"/>
        <v>0</v>
      </c>
      <c r="EM10" s="182" t="s">
        <v>14</v>
      </c>
      <c r="EN10" s="197">
        <f t="shared" si="26"/>
        <v>2</v>
      </c>
      <c r="EO10" s="182">
        <v>2</v>
      </c>
      <c r="EP10" s="112">
        <f t="shared" si="27"/>
        <v>1</v>
      </c>
      <c r="EQ10" s="200" t="s">
        <v>32</v>
      </c>
      <c r="ER10" s="198">
        <f ca="1">IF(EQ10="Out", VALUE($C10), IF(OR(ET$3="", ET$4=""),"", IF(EQ10=EQ$3, IF(ER$3=ET$3, $B$3, IF(ER$3&gt;ET$3, $B$2, $B$4)),
 IF(EQ10=ES$3, IF(ET$3=ER$3, $B$3, IF(ET$3&gt;ER$3, $B$2, $B$4)),
 IF(EQ10=EQ$4, IF(ER$4=ET$4, $B$3, IF(ER$4&gt;ET$4, $B$2, $B$4)),
 IF(EQ10=ES$4, IF(ET$4=ER$4, $B$3, IF(ET$4&gt;ER$4, $B$2, $B$4)), ""))))))</f>
        <v>2.2222222222222223</v>
      </c>
      <c r="ES10" s="199">
        <f ca="1">IF(EQ10="Out", $D10)</f>
        <v>3.2222222222222223</v>
      </c>
      <c r="ET10" s="113">
        <f t="shared" ca="1" si="29"/>
        <v>0.61111111111111116</v>
      </c>
      <c r="EU10" s="151">
        <f t="shared" ca="1" si="77"/>
        <v>4.6111111111111107</v>
      </c>
      <c r="EV10" s="98" t="s">
        <v>14</v>
      </c>
      <c r="EW10" s="219">
        <f t="shared" si="78"/>
        <v>2</v>
      </c>
      <c r="EX10" s="182">
        <v>4</v>
      </c>
      <c r="EY10" s="112">
        <f t="shared" si="30"/>
        <v>0</v>
      </c>
      <c r="EZ10" s="182" t="s">
        <v>14</v>
      </c>
      <c r="FA10" s="219">
        <f t="shared" si="79"/>
        <v>0</v>
      </c>
      <c r="FB10" s="182">
        <v>5</v>
      </c>
      <c r="FC10" s="112">
        <f t="shared" si="31"/>
        <v>-2.5</v>
      </c>
      <c r="FD10" s="182" t="s">
        <v>12</v>
      </c>
      <c r="FE10" s="219">
        <f t="shared" si="80"/>
        <v>0</v>
      </c>
      <c r="FF10" s="182">
        <v>6</v>
      </c>
      <c r="FG10" s="112">
        <f t="shared" si="32"/>
        <v>-3</v>
      </c>
      <c r="FH10" s="182" t="s">
        <v>14</v>
      </c>
      <c r="FI10" s="219">
        <f t="shared" si="81"/>
        <v>2</v>
      </c>
      <c r="FJ10" s="182">
        <v>2</v>
      </c>
      <c r="FK10" s="112">
        <f t="shared" si="33"/>
        <v>1</v>
      </c>
      <c r="FL10" s="151">
        <f t="shared" ca="1" si="82"/>
        <v>0.11111111111111072</v>
      </c>
    </row>
    <row r="11" spans="1:168" x14ac:dyDescent="0.2">
      <c r="A11" t="s">
        <v>102</v>
      </c>
      <c r="B11" t="s">
        <v>103</v>
      </c>
      <c r="C11" s="67">
        <f t="shared" ca="1" si="34"/>
        <v>2.5161290322580645</v>
      </c>
      <c r="D11" s="69">
        <f t="shared" ca="1" si="35"/>
        <v>2.1612903225806446</v>
      </c>
      <c r="E11" s="1" t="s">
        <v>15</v>
      </c>
      <c r="F11" s="16">
        <f t="shared" si="36"/>
        <v>0</v>
      </c>
      <c r="G11" s="1">
        <v>3</v>
      </c>
      <c r="H11" s="1">
        <f t="shared" si="37"/>
        <v>-1.5</v>
      </c>
      <c r="I11" s="15" t="s">
        <v>14</v>
      </c>
      <c r="J11" s="16">
        <f t="shared" si="83"/>
        <v>6</v>
      </c>
      <c r="K11" s="1">
        <v>1</v>
      </c>
      <c r="L11" s="1">
        <f t="shared" si="38"/>
        <v>5.5</v>
      </c>
      <c r="M11" s="15" t="s">
        <v>12</v>
      </c>
      <c r="N11" s="16">
        <f t="shared" si="84"/>
        <v>6</v>
      </c>
      <c r="O11" s="1">
        <v>0</v>
      </c>
      <c r="P11" s="1">
        <f t="shared" si="39"/>
        <v>6</v>
      </c>
      <c r="Q11" s="15" t="s">
        <v>11</v>
      </c>
      <c r="R11" s="16">
        <f t="shared" si="40"/>
        <v>0</v>
      </c>
      <c r="S11" s="1">
        <v>5</v>
      </c>
      <c r="T11" s="1">
        <f t="shared" si="41"/>
        <v>-2.5</v>
      </c>
      <c r="U11" s="136" t="s">
        <v>97</v>
      </c>
      <c r="V11" s="53">
        <v>0</v>
      </c>
      <c r="W11" s="56">
        <v>0</v>
      </c>
      <c r="X11" s="56">
        <f t="shared" si="43"/>
        <v>0</v>
      </c>
      <c r="Y11" s="31">
        <f t="shared" si="44"/>
        <v>7.5</v>
      </c>
      <c r="Z11" s="28" t="s">
        <v>15</v>
      </c>
      <c r="AA11" s="16">
        <f t="shared" si="0"/>
        <v>6</v>
      </c>
      <c r="AB11" s="27">
        <v>3</v>
      </c>
      <c r="AC11" s="1">
        <f t="shared" si="45"/>
        <v>4.5</v>
      </c>
      <c r="AD11" s="28" t="s">
        <v>11</v>
      </c>
      <c r="AE11" s="16">
        <f t="shared" si="85"/>
        <v>6</v>
      </c>
      <c r="AF11" s="27">
        <v>1</v>
      </c>
      <c r="AG11" s="1">
        <f t="shared" si="46"/>
        <v>5.5</v>
      </c>
      <c r="AH11" s="28" t="s">
        <v>12</v>
      </c>
      <c r="AI11" s="16">
        <f t="shared" si="1"/>
        <v>2</v>
      </c>
      <c r="AJ11" s="27">
        <v>3</v>
      </c>
      <c r="AK11" s="1">
        <f t="shared" si="47"/>
        <v>0.5</v>
      </c>
      <c r="AL11" s="28" t="s">
        <v>14</v>
      </c>
      <c r="AM11" s="16">
        <f t="shared" si="2"/>
        <v>2</v>
      </c>
      <c r="AN11" s="27">
        <v>4</v>
      </c>
      <c r="AO11" s="1">
        <f t="shared" ref="AO11:AO12" si="93">AM11-($B$5*AN11)</f>
        <v>0</v>
      </c>
      <c r="AP11" s="52" t="s">
        <v>97</v>
      </c>
      <c r="AQ11" s="53">
        <v>0</v>
      </c>
      <c r="AR11" s="54">
        <v>0</v>
      </c>
      <c r="AS11" s="55">
        <v>0</v>
      </c>
      <c r="AT11" s="94">
        <f t="shared" si="49"/>
        <v>10.5</v>
      </c>
      <c r="AU11" s="103" t="s">
        <v>32</v>
      </c>
      <c r="AV11" s="84">
        <f ca="1">IF(AU11="Out", VALUE($C11), IF(OR(AX$3="", AX$4=""),"", IF(AU11=AU$3, IF(AV$3=AX$3, $B$3, IF(AV$3&gt;AX$3, $B$2, $B$4)),
 IF(AU11=AW$3, IF(AX$3=AV$3, $B$3, IF(AX$3&gt;AV$3, $B$2, $B$4)),
 IF(AU11=AU$4, IF(AV$4=AX$4, $B$3, IF(AV$4&gt;AX$4, $B$2, $B$4)),
 IF(AU11=AW$4, IF(AX$4=AV$4, $B$3, IF(AX$4&gt;AV$4, $B$2, $B$4)), ""))))))</f>
        <v>2.5161290322580645</v>
      </c>
      <c r="AW11" s="85">
        <f ca="1">IF(AU11="Out", $D11)</f>
        <v>2.1612903225806446</v>
      </c>
      <c r="AX11" s="113">
        <f t="shared" ca="1" si="50"/>
        <v>1.4354838709677422</v>
      </c>
      <c r="AY11" s="42" t="s">
        <v>32</v>
      </c>
      <c r="AZ11" s="84">
        <f ca="1">IF(AY11="Out", VALUE($C11), IF(OR(BB$3="", BB$4=""),"", IF(AY11=AY$3, IF(AZ$3=BB$3, $B$3, IF(AZ$3&gt;BB$3, $B$2, $B$4)),
 IF(AY11=BA$3, IF(BB$3=AZ$3, $B$3, IF(BB$3&gt;AZ$3, $B$2, $B$4)),
 IF(AY11=AY$4, IF(AZ$4=BB$4, $B$3, IF(AZ$4&gt;BB$4, $B$2, $B$4)),
 IF(AY11=BA$4, IF(BB$4=AZ$4, $B$3, IF(BB$4&gt;AZ$4, $B$2, $B$4)), ""))))))</f>
        <v>2.5161290322580645</v>
      </c>
      <c r="BA11" s="85">
        <f ca="1">IF(AY11="Out", $D11)</f>
        <v>2.1612903225806446</v>
      </c>
      <c r="BB11" s="113">
        <f t="shared" ref="BB11:BB13" ca="1" si="94">AZ11-($B$5*BA11)</f>
        <v>1.4354838709677422</v>
      </c>
      <c r="BC11" s="103" t="s">
        <v>32</v>
      </c>
      <c r="BD11" s="84">
        <f ca="1">IF(BC11="Out", VALUE($C11), IF(OR(BF$3="", BF$4=""),"", IF(BC11=BC$3, IF(BD$3=BF$3, $B$3, IF(BD$3&gt;BF$3, $B$2, $B$4)),
 IF(BC11=BE$3, IF(BF$3=BD$3, $B$3, IF(BF$3&gt;BD$3, $B$2, $B$4)),
 IF(BC11=BC$4, IF(BD$4=BF$4, $B$3, IF(BD$4&gt;BF$4, $B$2, $B$4)),
 IF(BC11=BE$4, IF(BF$4=BD$4, $B$3, IF(BF$4&gt;BD$4, $B$2, $B$4)), ""))))))</f>
        <v>2.5161290322580645</v>
      </c>
      <c r="BE11" s="85">
        <f ca="1">IF(BC11="Out", $D11)</f>
        <v>2.1612903225806446</v>
      </c>
      <c r="BF11" s="113">
        <f t="shared" ref="BF11:BF13" ca="1" si="95">BD11-($B$5*BE11)</f>
        <v>1.4354838709677422</v>
      </c>
      <c r="BG11" s="56" t="s">
        <v>97</v>
      </c>
      <c r="BH11" s="130">
        <v>0</v>
      </c>
      <c r="BI11" s="131">
        <v>0</v>
      </c>
      <c r="BJ11" s="144">
        <f t="shared" ref="BJ11:BJ13" si="96">BH11-($B$5*BI11)</f>
        <v>0</v>
      </c>
      <c r="BK11" s="103" t="s">
        <v>32</v>
      </c>
      <c r="BL11" s="84">
        <f ca="1">IF(BK11="Out", VALUE($C11), IF(OR(BN$3="", BN$4=""),"", IF(BK11=BK$3, IF(BL$3=BN$3, $B$3, IF(BL$3&gt;BN$3, $B$2, $B$4)),
 IF(BK11=BM$3, IF(BN$3=BL$3, $B$3, IF(BN$3&gt;BL$3, $B$2, $B$4)),
 IF(BK11=BK$4, IF(BL$4=BN$4, $B$3, IF(BL$4&gt;BN$4, $B$2, $B$4)),
 IF(BK11=BM$4, IF(BN$4=BL$4, $B$3, IF(BN$4&gt;BL$4, $B$2, $B$4)), ""))))))</f>
        <v>2.5161290322580645</v>
      </c>
      <c r="BM11" s="85">
        <f ca="1">IF(BK11="Out", $D11)</f>
        <v>2.1612903225806446</v>
      </c>
      <c r="BN11" s="113">
        <f t="shared" ref="BN11" ca="1" si="97">BL11-($B$5*BM11)</f>
        <v>1.4354838709677422</v>
      </c>
      <c r="BO11" s="149">
        <f t="shared" ca="1" si="55"/>
        <v>5.7419354838709689</v>
      </c>
      <c r="BP11" s="98" t="s">
        <v>12</v>
      </c>
      <c r="BQ11" s="16">
        <f t="shared" si="56"/>
        <v>6</v>
      </c>
      <c r="BR11" s="1">
        <v>3</v>
      </c>
      <c r="BS11" s="112">
        <f t="shared" si="12"/>
        <v>4.5</v>
      </c>
      <c r="BT11" s="1" t="s">
        <v>11</v>
      </c>
      <c r="BU11" s="16">
        <f t="shared" si="13"/>
        <v>6</v>
      </c>
      <c r="BV11" s="1">
        <v>4</v>
      </c>
      <c r="BW11" s="78">
        <f t="shared" si="14"/>
        <v>4</v>
      </c>
      <c r="BX11" s="115" t="s">
        <v>97</v>
      </c>
      <c r="BY11" s="53">
        <v>0</v>
      </c>
      <c r="BZ11" s="56">
        <v>0</v>
      </c>
      <c r="CA11" s="165">
        <f t="shared" si="16"/>
        <v>0</v>
      </c>
      <c r="CB11" s="98" t="s">
        <v>15</v>
      </c>
      <c r="CC11" s="16">
        <f t="shared" si="17"/>
        <v>6</v>
      </c>
      <c r="CD11" s="1">
        <v>0</v>
      </c>
      <c r="CE11" s="78">
        <f t="shared" si="18"/>
        <v>6</v>
      </c>
      <c r="CF11" s="98" t="s">
        <v>15</v>
      </c>
      <c r="CG11" s="16">
        <f t="shared" si="19"/>
        <v>6</v>
      </c>
      <c r="CH11" s="1">
        <v>0</v>
      </c>
      <c r="CI11" s="78">
        <f t="shared" si="20"/>
        <v>6</v>
      </c>
      <c r="CJ11" s="170">
        <f t="shared" si="57"/>
        <v>20.5</v>
      </c>
      <c r="CK11" s="98" t="s">
        <v>15</v>
      </c>
      <c r="CL11" s="16">
        <f t="shared" si="58"/>
        <v>6</v>
      </c>
      <c r="CM11" s="1">
        <v>2</v>
      </c>
      <c r="CN11" s="112">
        <f t="shared" si="59"/>
        <v>5</v>
      </c>
      <c r="CO11" s="1" t="s">
        <v>14</v>
      </c>
      <c r="CP11" s="16">
        <f t="shared" si="90"/>
        <v>0</v>
      </c>
      <c r="CQ11" s="1">
        <v>2</v>
      </c>
      <c r="CR11" s="78">
        <f t="shared" si="60"/>
        <v>-1</v>
      </c>
      <c r="CS11" s="98" t="s">
        <v>14</v>
      </c>
      <c r="CT11" s="16">
        <f t="shared" si="61"/>
        <v>0</v>
      </c>
      <c r="CU11" s="1">
        <v>4</v>
      </c>
      <c r="CV11" s="112">
        <f t="shared" si="62"/>
        <v>-2</v>
      </c>
      <c r="CW11" s="56" t="s">
        <v>97</v>
      </c>
      <c r="CX11" s="53">
        <v>0</v>
      </c>
      <c r="CY11" s="56">
        <v>0</v>
      </c>
      <c r="CZ11" s="165">
        <f t="shared" si="64"/>
        <v>0</v>
      </c>
      <c r="DA11" s="98" t="s">
        <v>12</v>
      </c>
      <c r="DB11" s="16">
        <f t="shared" si="65"/>
        <v>0</v>
      </c>
      <c r="DC11" s="1">
        <v>6</v>
      </c>
      <c r="DD11" s="112">
        <f t="shared" si="66"/>
        <v>-3</v>
      </c>
      <c r="DE11" s="151">
        <f t="shared" si="67"/>
        <v>-1</v>
      </c>
      <c r="DF11" s="1" t="s">
        <v>11</v>
      </c>
      <c r="DG11" s="16">
        <f t="shared" si="91"/>
        <v>0</v>
      </c>
      <c r="DH11" s="1">
        <v>5</v>
      </c>
      <c r="DI11" s="112">
        <f t="shared" si="68"/>
        <v>-2.5</v>
      </c>
      <c r="DJ11" s="1" t="s">
        <v>15</v>
      </c>
      <c r="DK11" s="16">
        <f t="shared" ref="DK9:DK12" si="98">IF(OR(DM$3="", DM$4=""),"", IF(DJ11=DJ$3, IF(DK$3=DM$3, $B$3, IF(DK$3&gt;DM$3, $B$2, $B$4)),
 IF(DJ11=DL$3, IF(DM$3=DK$3, $B$3, IF(DM$3&gt;DK$3, $B$2, $B$4)),
 IF(DJ11=DJ$4, IF(DK$4=DM$4, $B$3, IF(DK$4&gt;DM$4, $B$2, $B$4)),
 IF(DJ11=DL$4, IF(DM$4=DK$4, $B$3, IF(DM$4&gt;DK$4, $B$2, $B$4)), "")))))</f>
        <v>6</v>
      </c>
      <c r="DL11" s="1">
        <v>3</v>
      </c>
      <c r="DM11" s="112">
        <f t="shared" si="69"/>
        <v>4.5</v>
      </c>
      <c r="DN11" s="56" t="s">
        <v>97</v>
      </c>
      <c r="DO11" s="53">
        <v>0</v>
      </c>
      <c r="DP11" s="56">
        <v>0</v>
      </c>
      <c r="DQ11" s="144">
        <f t="shared" si="70"/>
        <v>0</v>
      </c>
      <c r="DR11" s="1" t="s">
        <v>14</v>
      </c>
      <c r="DS11" s="16">
        <f t="shared" si="71"/>
        <v>0</v>
      </c>
      <c r="DT11" s="1">
        <v>4</v>
      </c>
      <c r="DU11" s="112">
        <f t="shared" si="72"/>
        <v>-2</v>
      </c>
      <c r="DV11" s="1" t="s">
        <v>11</v>
      </c>
      <c r="DW11" s="16">
        <f t="shared" si="73"/>
        <v>0</v>
      </c>
      <c r="DX11" s="1">
        <v>6</v>
      </c>
      <c r="DY11" s="112">
        <f t="shared" si="74"/>
        <v>-3</v>
      </c>
      <c r="DZ11" s="151">
        <f t="shared" si="75"/>
        <v>-3</v>
      </c>
      <c r="EA11" s="103" t="s">
        <v>32</v>
      </c>
      <c r="EB11" s="198">
        <f ca="1">IF(EA11="Out", VALUE($C11), IF(OR(ED$3="", ED$4=""),"", IF(EA11=EA$3, IF(EB$3=ED$3, $B$3, IF(EB$3&gt;ED$3, $B$2, $B$4)),
 IF(EA11=EC$3, IF(ED$3=EB$3, $B$3, IF(ED$3&gt;EB$3, $B$2, $B$4)),
 IF(EA11=EA$4, IF(EB$4=ED$4, $B$3, IF(EB$4&gt;ED$4, $B$2, $B$4)),
 IF(EA11=EC$4, IF(ED$4=EB$4, $B$3, IF(ED$4&gt;EB$4, $B$2, $B$4)), ""))))))</f>
        <v>2.5161290322580645</v>
      </c>
      <c r="EC11" s="199">
        <f ca="1">IF(EA11="Out", $D11)</f>
        <v>2.1612903225806446</v>
      </c>
      <c r="ED11" s="113">
        <f t="shared" ca="1" si="21"/>
        <v>1.4354838709677422</v>
      </c>
      <c r="EE11" s="200" t="s">
        <v>32</v>
      </c>
      <c r="EF11" s="198">
        <f ca="1">IF(EE11="Out", VALUE($C11), IF(OR(EH$3="", EH$4=""),"", IF(EE11=EE$3, IF(EF$3=EH$3, $B$3, IF(EF$3&gt;EH$3, $B$2, $B$4)),
 IF(EE11=EG$3, IF(EH$3=EF$3, $B$3, IF(EH$3&gt;EF$3, $B$2, $B$4)),
 IF(EE11=EE$4, IF(EF$4=EH$4, $B$3, IF(EF$4&gt;EH$4, $B$2, $B$4)),
 IF(EE11=EG$4, IF(EH$4=EF$4, $B$3, IF(EH$4&gt;EF$4, $B$2, $B$4)), ""))))))</f>
        <v>2.5161290322580645</v>
      </c>
      <c r="EG11" s="199">
        <f ca="1">IF(EE11="Out", $D11)</f>
        <v>2.1612903225806446</v>
      </c>
      <c r="EH11" s="113">
        <f t="shared" ca="1" si="23"/>
        <v>1.4354838709677422</v>
      </c>
      <c r="EI11" s="200" t="s">
        <v>32</v>
      </c>
      <c r="EJ11" s="198">
        <f ca="1">IF(EI11="Out", VALUE($C11), IF(OR(EL$3="", EL$4=""),"", IF(EI11=EI$3, IF(EJ$3=EL$3, $B$3, IF(EJ$3&gt;EL$3, $B$2, $B$4)),
 IF(EI11=EK$3, IF(EL$3=EJ$3, $B$3, IF(EL$3&gt;EJ$3, $B$2, $B$4)),
 IF(EI11=EI$4, IF(EJ$4=EL$4, $B$3, IF(EJ$4&gt;EL$4, $B$2, $B$4)),
 IF(EI11=EK$4, IF(EL$4=EJ$4, $B$3, IF(EL$4&gt;EJ$4, $B$2, $B$4)), ""))))))</f>
        <v>2.5161290322580645</v>
      </c>
      <c r="EK11" s="199">
        <f ca="1">IF(EI11="Out", $D11)</f>
        <v>2.1612903225806446</v>
      </c>
      <c r="EL11" s="113">
        <f t="shared" ca="1" si="25"/>
        <v>1.4354838709677422</v>
      </c>
      <c r="EM11" s="200" t="s">
        <v>32</v>
      </c>
      <c r="EN11" s="198">
        <f ca="1">IF(EM11="Out", VALUE($C11), IF(OR(EP$3="", EP$4=""),"", IF(EM11=EM$3, IF(EN$3=EP$3, $B$3, IF(EN$3&gt;EP$3, $B$2, $B$4)),
 IF(EM11=EO$3, IF(EP$3=EN$3, $B$3, IF(EP$3&gt;EN$3, $B$2, $B$4)),
 IF(EM11=EM$4, IF(EN$4=EP$4, $B$3, IF(EN$4&gt;EP$4, $B$2, $B$4)),
 IF(EM11=EO$4, IF(EP$4=EN$4, $B$3, IF(EP$4&gt;EN$4, $B$2, $B$4)), ""))))))</f>
        <v>2.5161290322580645</v>
      </c>
      <c r="EO11" s="199">
        <f ca="1">IF(EM11="Out", $D11)</f>
        <v>2.1612903225806446</v>
      </c>
      <c r="EP11" s="113">
        <f t="shared" ca="1" si="27"/>
        <v>1.4354838709677422</v>
      </c>
      <c r="EQ11" s="196" t="s">
        <v>97</v>
      </c>
      <c r="ER11" s="201">
        <v>0</v>
      </c>
      <c r="ES11" s="202">
        <v>0</v>
      </c>
      <c r="ET11" s="144">
        <f t="shared" si="29"/>
        <v>0</v>
      </c>
      <c r="EU11" s="151">
        <f t="shared" ca="1" si="77"/>
        <v>5.7419354838709689</v>
      </c>
      <c r="EV11" s="98" t="s">
        <v>12</v>
      </c>
      <c r="EW11" s="219">
        <f t="shared" si="78"/>
        <v>6</v>
      </c>
      <c r="EX11" s="182">
        <v>1</v>
      </c>
      <c r="EY11" s="112">
        <f t="shared" si="30"/>
        <v>5.5</v>
      </c>
      <c r="EZ11" s="182" t="s">
        <v>12</v>
      </c>
      <c r="FA11" s="219">
        <f t="shared" si="79"/>
        <v>0</v>
      </c>
      <c r="FB11" s="182">
        <v>4</v>
      </c>
      <c r="FC11" s="112">
        <f t="shared" si="31"/>
        <v>-2</v>
      </c>
      <c r="FD11" s="182" t="s">
        <v>11</v>
      </c>
      <c r="FE11" s="219">
        <f t="shared" si="80"/>
        <v>6</v>
      </c>
      <c r="FF11" s="182">
        <v>1</v>
      </c>
      <c r="FG11" s="112">
        <f t="shared" si="32"/>
        <v>5.5</v>
      </c>
      <c r="FH11" s="182" t="s">
        <v>15</v>
      </c>
      <c r="FI11" s="219">
        <f t="shared" si="81"/>
        <v>2</v>
      </c>
      <c r="FJ11" s="182">
        <v>2</v>
      </c>
      <c r="FK11" s="112">
        <f t="shared" si="33"/>
        <v>1</v>
      </c>
      <c r="FL11" s="151">
        <f t="shared" ca="1" si="82"/>
        <v>15.741935483870968</v>
      </c>
    </row>
    <row r="12" spans="1:168" x14ac:dyDescent="0.2">
      <c r="A12" s="5" t="s">
        <v>104</v>
      </c>
      <c r="B12" s="5" t="s">
        <v>81</v>
      </c>
      <c r="C12" s="68">
        <f t="shared" si="34"/>
        <v>2.358974358974359</v>
      </c>
      <c r="D12" s="70">
        <f t="shared" si="35"/>
        <v>3.0256410256410255</v>
      </c>
      <c r="E12" s="135" t="s">
        <v>97</v>
      </c>
      <c r="F12" s="133">
        <v>0</v>
      </c>
      <c r="G12" s="135">
        <v>0</v>
      </c>
      <c r="H12" s="135">
        <f t="shared" si="37"/>
        <v>0</v>
      </c>
      <c r="I12" s="18" t="s">
        <v>15</v>
      </c>
      <c r="J12" s="19">
        <f t="shared" si="83"/>
        <v>0</v>
      </c>
      <c r="K12" s="20">
        <v>7</v>
      </c>
      <c r="L12" s="20">
        <f t="shared" si="38"/>
        <v>-3.5</v>
      </c>
      <c r="M12" s="18" t="s">
        <v>14</v>
      </c>
      <c r="N12" s="19">
        <f t="shared" si="84"/>
        <v>6</v>
      </c>
      <c r="O12" s="20">
        <v>2</v>
      </c>
      <c r="P12" s="20">
        <f t="shared" si="39"/>
        <v>5</v>
      </c>
      <c r="Q12" s="18" t="s">
        <v>12</v>
      </c>
      <c r="R12" s="19">
        <f t="shared" si="40"/>
        <v>6</v>
      </c>
      <c r="S12" s="20">
        <v>2</v>
      </c>
      <c r="T12" s="20">
        <f t="shared" si="41"/>
        <v>5</v>
      </c>
      <c r="U12" s="18" t="s">
        <v>11</v>
      </c>
      <c r="V12" s="19">
        <f t="shared" si="42"/>
        <v>6</v>
      </c>
      <c r="W12" s="20">
        <v>0</v>
      </c>
      <c r="X12" s="20">
        <f t="shared" si="43"/>
        <v>6</v>
      </c>
      <c r="Y12" s="46">
        <f t="shared" si="44"/>
        <v>12.5</v>
      </c>
      <c r="Z12" s="132" t="s">
        <v>97</v>
      </c>
      <c r="AA12" s="133">
        <v>0</v>
      </c>
      <c r="AB12" s="134">
        <v>0</v>
      </c>
      <c r="AC12" s="135">
        <f t="shared" si="45"/>
        <v>0</v>
      </c>
      <c r="AD12" s="29" t="s">
        <v>14</v>
      </c>
      <c r="AE12" s="19">
        <f t="shared" si="85"/>
        <v>0</v>
      </c>
      <c r="AF12" s="30">
        <v>6</v>
      </c>
      <c r="AG12" s="20">
        <f t="shared" si="46"/>
        <v>-3</v>
      </c>
      <c r="AH12" s="29" t="s">
        <v>14</v>
      </c>
      <c r="AI12" s="19">
        <f t="shared" si="1"/>
        <v>0</v>
      </c>
      <c r="AJ12" s="30">
        <v>3</v>
      </c>
      <c r="AK12" s="20">
        <f t="shared" si="47"/>
        <v>-1.5</v>
      </c>
      <c r="AL12" s="29" t="s">
        <v>12</v>
      </c>
      <c r="AM12" s="19">
        <f t="shared" si="2"/>
        <v>0</v>
      </c>
      <c r="AN12" s="30">
        <v>5</v>
      </c>
      <c r="AO12" s="20">
        <f t="shared" si="93"/>
        <v>-2.5</v>
      </c>
      <c r="AP12" s="29" t="s">
        <v>12</v>
      </c>
      <c r="AQ12" s="19">
        <f t="shared" si="3"/>
        <v>6</v>
      </c>
      <c r="AR12" s="30">
        <v>3</v>
      </c>
      <c r="AS12" s="21">
        <f t="shared" si="48"/>
        <v>4.5</v>
      </c>
      <c r="AT12" s="123">
        <f t="shared" si="49"/>
        <v>-2.5</v>
      </c>
      <c r="AU12" s="98" t="s">
        <v>15</v>
      </c>
      <c r="AV12" s="16">
        <f t="shared" ref="AV12:AV13" si="99">IF(OR(AX$3="", AX$4=""),"", IF(AU12=AU$3, IF(AV$3=AX$3, $B$3, IF(AV$3&gt;AX$3, $B$2, $B$4)),
 IF(AU12=AW$3, IF(AX$3=AV$3, $B$3, IF(AX$3&gt;AV$3, $B$2, $B$4)),
 IF(AU12=AU$4, IF(AV$4=AX$4, $B$3, IF(AV$4&gt;AX$4, $B$2, $B$4)),
 IF(AU12=AW$4, IF(AX$4=AV$4, $B$3, IF(AX$4&gt;AV$4, $B$2, $B$4)), "")))))</f>
        <v>0</v>
      </c>
      <c r="AW12" s="1">
        <v>5</v>
      </c>
      <c r="AX12" s="112">
        <f t="shared" si="50"/>
        <v>-2.5</v>
      </c>
      <c r="AY12" s="1" t="s">
        <v>11</v>
      </c>
      <c r="AZ12" s="16">
        <f t="shared" ref="AZ12:AZ13" si="100">IF(OR(BB$3="", BB$4=""),"", IF(AY12=AY$3, IF(AZ$3=BB$3, $B$3, IF(AZ$3&gt;BB$3, $B$2, $B$4)),
 IF(AY12=BA$3, IF(BB$3=AZ$3, $B$3, IF(BB$3&gt;AZ$3, $B$2, $B$4)),
 IF(AY12=AY$4, IF(AZ$4=BB$4, $B$3, IF(AZ$4&gt;BB$4, $B$2, $B$4)),
 IF(AY12=BA$4, IF(BB$4=AZ$4, $B$3, IF(BB$4&gt;AZ$4, $B$2, $B$4)), "")))))</f>
        <v>2</v>
      </c>
      <c r="BA12" s="1">
        <v>6</v>
      </c>
      <c r="BB12" s="112">
        <f t="shared" si="94"/>
        <v>-1</v>
      </c>
      <c r="BC12" s="98" t="s">
        <v>15</v>
      </c>
      <c r="BD12" s="16">
        <f t="shared" ref="BD12:BD13" si="101">IF(OR(BF$3="", BF$4=""),"", IF(BC12=BC$3, IF(BD$3=BF$3, $B$3, IF(BD$3&gt;BF$3, $B$2, $B$4)),
 IF(BC12=BE$3, IF(BF$3=BD$3, $B$3, IF(BF$3&gt;BD$3, $B$2, $B$4)),
 IF(BC12=BC$4, IF(BD$4=BF$4, $B$3, IF(BD$4&gt;BF$4, $B$2, $B$4)),
 IF(BC12=BE$4, IF(BF$4=BD$4, $B$3, IF(BF$4&gt;BD$4, $B$2, $B$4)), "")))))</f>
        <v>2</v>
      </c>
      <c r="BE12" s="1">
        <v>2</v>
      </c>
      <c r="BF12" s="112">
        <f t="shared" si="95"/>
        <v>1</v>
      </c>
      <c r="BG12" s="1" t="s">
        <v>12</v>
      </c>
      <c r="BH12" s="16">
        <f t="shared" ref="BH12:BH13" si="102">IF(OR(BJ$3="", BJ$4=""),"", IF(BG12=BG$3, IF(BH$3=BJ$3, $B$3, IF(BH$3&gt;BJ$3, $B$2, $B$4)),
 IF(BG12=BI$3, IF(BJ$3=BH$3, $B$3, IF(BJ$3&gt;BH$3, $B$2, $B$4)),
 IF(BG12=BG$4, IF(BH$4=BJ$4, $B$3, IF(BH$4&gt;BJ$4, $B$2, $B$4)),
 IF(BG12=BI$4, IF(BJ$4=BH$4, $B$3, IF(BJ$4&gt;BH$4, $B$2, $B$4)), "")))))</f>
        <v>0</v>
      </c>
      <c r="BI12" s="1">
        <v>4</v>
      </c>
      <c r="BJ12" s="112">
        <f t="shared" si="96"/>
        <v>-2</v>
      </c>
      <c r="BK12" s="115" t="s">
        <v>97</v>
      </c>
      <c r="BL12" s="53">
        <v>0</v>
      </c>
      <c r="BM12" s="56">
        <v>0</v>
      </c>
      <c r="BN12" s="144">
        <f>BL12-($B$5*BM12)</f>
        <v>0</v>
      </c>
      <c r="BO12" s="149">
        <f t="shared" si="55"/>
        <v>-4.5</v>
      </c>
      <c r="BP12" s="99" t="s">
        <v>11</v>
      </c>
      <c r="BQ12" s="72">
        <f t="shared" si="56"/>
        <v>0</v>
      </c>
      <c r="BR12" s="100">
        <v>4</v>
      </c>
      <c r="BS12" s="143">
        <f t="shared" si="12"/>
        <v>-2</v>
      </c>
      <c r="BT12" s="117" t="s">
        <v>97</v>
      </c>
      <c r="BU12" s="117">
        <v>0</v>
      </c>
      <c r="BV12" s="117">
        <v>0</v>
      </c>
      <c r="BW12" s="166">
        <f t="shared" si="14"/>
        <v>0</v>
      </c>
      <c r="BX12" s="99" t="s">
        <v>15</v>
      </c>
      <c r="BY12" s="72">
        <f t="shared" si="15"/>
        <v>6</v>
      </c>
      <c r="BZ12" s="100">
        <v>5</v>
      </c>
      <c r="CA12" s="164">
        <f t="shared" si="16"/>
        <v>3.5</v>
      </c>
      <c r="CB12" s="99" t="s">
        <v>11</v>
      </c>
      <c r="CC12" s="72">
        <f t="shared" si="17"/>
        <v>6</v>
      </c>
      <c r="CD12" s="100">
        <v>2</v>
      </c>
      <c r="CE12" s="164">
        <f t="shared" si="18"/>
        <v>5</v>
      </c>
      <c r="CF12" s="99" t="s">
        <v>14</v>
      </c>
      <c r="CG12" s="72">
        <f t="shared" si="19"/>
        <v>0</v>
      </c>
      <c r="CH12" s="100">
        <v>1</v>
      </c>
      <c r="CI12" s="143">
        <f t="shared" si="20"/>
        <v>-0.5</v>
      </c>
      <c r="CJ12" s="171">
        <f t="shared" si="57"/>
        <v>6</v>
      </c>
      <c r="CK12" s="99" t="s">
        <v>12</v>
      </c>
      <c r="CL12" s="72">
        <f t="shared" si="58"/>
        <v>6</v>
      </c>
      <c r="CM12" s="100">
        <v>1</v>
      </c>
      <c r="CN12" s="143">
        <f t="shared" si="59"/>
        <v>5.5</v>
      </c>
      <c r="CO12" s="100" t="s">
        <v>12</v>
      </c>
      <c r="CP12" s="72">
        <f t="shared" si="90"/>
        <v>6</v>
      </c>
      <c r="CQ12" s="100">
        <v>1</v>
      </c>
      <c r="CR12" s="164">
        <f t="shared" si="60"/>
        <v>5.5</v>
      </c>
      <c r="CS12" s="99" t="s">
        <v>15</v>
      </c>
      <c r="CT12" s="72">
        <f t="shared" si="61"/>
        <v>6</v>
      </c>
      <c r="CU12" s="100">
        <v>2</v>
      </c>
      <c r="CV12" s="143">
        <f t="shared" si="62"/>
        <v>5</v>
      </c>
      <c r="CW12" s="100" t="s">
        <v>15</v>
      </c>
      <c r="CX12" s="72">
        <f t="shared" si="63"/>
        <v>0</v>
      </c>
      <c r="CY12" s="100">
        <v>9</v>
      </c>
      <c r="CZ12" s="164">
        <f t="shared" si="64"/>
        <v>-4.5</v>
      </c>
      <c r="DA12" s="116" t="s">
        <v>97</v>
      </c>
      <c r="DB12" s="172">
        <v>0</v>
      </c>
      <c r="DC12" s="117">
        <v>0</v>
      </c>
      <c r="DD12" s="173">
        <f t="shared" si="66"/>
        <v>0</v>
      </c>
      <c r="DE12" s="163">
        <f t="shared" si="67"/>
        <v>11.5</v>
      </c>
      <c r="DF12" s="99" t="s">
        <v>12</v>
      </c>
      <c r="DG12" s="72">
        <f t="shared" si="91"/>
        <v>6</v>
      </c>
      <c r="DH12" s="100">
        <v>3</v>
      </c>
      <c r="DI12" s="143">
        <f t="shared" si="68"/>
        <v>4.5</v>
      </c>
      <c r="DJ12" s="100" t="s">
        <v>12</v>
      </c>
      <c r="DK12" s="72">
        <f t="shared" si="98"/>
        <v>0</v>
      </c>
      <c r="DL12" s="100">
        <v>10</v>
      </c>
      <c r="DM12" s="143">
        <f t="shared" si="69"/>
        <v>-5</v>
      </c>
      <c r="DN12" s="100" t="s">
        <v>11</v>
      </c>
      <c r="DO12" s="72">
        <f t="shared" si="92"/>
        <v>6</v>
      </c>
      <c r="DP12" s="100">
        <v>2</v>
      </c>
      <c r="DQ12" s="143">
        <f t="shared" si="70"/>
        <v>5</v>
      </c>
      <c r="DR12" s="117" t="s">
        <v>97</v>
      </c>
      <c r="DS12" s="172">
        <v>0</v>
      </c>
      <c r="DT12" s="117">
        <v>0</v>
      </c>
      <c r="DU12" s="173">
        <f t="shared" si="72"/>
        <v>0</v>
      </c>
      <c r="DV12" s="100" t="s">
        <v>12</v>
      </c>
      <c r="DW12" s="72">
        <f t="shared" si="73"/>
        <v>6</v>
      </c>
      <c r="DX12" s="100">
        <v>3</v>
      </c>
      <c r="DY12" s="143">
        <f t="shared" si="74"/>
        <v>4.5</v>
      </c>
      <c r="DZ12" s="163">
        <f t="shared" si="75"/>
        <v>9</v>
      </c>
      <c r="EA12" s="99" t="s">
        <v>14</v>
      </c>
      <c r="EB12" s="72">
        <f t="shared" si="76"/>
        <v>2</v>
      </c>
      <c r="EC12" s="100">
        <v>4</v>
      </c>
      <c r="ED12" s="143">
        <f t="shared" si="21"/>
        <v>0</v>
      </c>
      <c r="EE12" s="117" t="s">
        <v>97</v>
      </c>
      <c r="EF12" s="117">
        <v>0</v>
      </c>
      <c r="EG12" s="117">
        <v>0</v>
      </c>
      <c r="EH12" s="173">
        <f t="shared" si="23"/>
        <v>0</v>
      </c>
      <c r="EI12" s="100" t="s">
        <v>15</v>
      </c>
      <c r="EJ12" s="72">
        <f t="shared" si="24"/>
        <v>6</v>
      </c>
      <c r="EK12" s="100">
        <v>2</v>
      </c>
      <c r="EL12" s="143">
        <f t="shared" si="25"/>
        <v>5</v>
      </c>
      <c r="EM12" s="100" t="s">
        <v>15</v>
      </c>
      <c r="EN12" s="72">
        <f t="shared" si="26"/>
        <v>2</v>
      </c>
      <c r="EO12" s="100">
        <v>2</v>
      </c>
      <c r="EP12" s="143">
        <f t="shared" si="27"/>
        <v>1</v>
      </c>
      <c r="EQ12" s="100" t="s">
        <v>14</v>
      </c>
      <c r="ER12" s="72">
        <f t="shared" si="28"/>
        <v>0</v>
      </c>
      <c r="ES12" s="100">
        <v>6</v>
      </c>
      <c r="ET12" s="143">
        <f t="shared" si="29"/>
        <v>-3</v>
      </c>
      <c r="EU12" s="163">
        <f t="shared" si="77"/>
        <v>3</v>
      </c>
      <c r="EV12" s="99" t="s">
        <v>11</v>
      </c>
      <c r="EW12" s="220">
        <f t="shared" si="78"/>
        <v>0</v>
      </c>
      <c r="EX12" s="100">
        <v>5</v>
      </c>
      <c r="EY12" s="143">
        <f t="shared" si="30"/>
        <v>-2.5</v>
      </c>
      <c r="EZ12" s="100" t="s">
        <v>11</v>
      </c>
      <c r="FA12" s="220">
        <f t="shared" si="79"/>
        <v>6</v>
      </c>
      <c r="FB12" s="100">
        <v>0</v>
      </c>
      <c r="FC12" s="143">
        <f t="shared" si="31"/>
        <v>6</v>
      </c>
      <c r="FD12" s="100" t="s">
        <v>14</v>
      </c>
      <c r="FE12" s="220">
        <f t="shared" si="80"/>
        <v>0</v>
      </c>
      <c r="FF12" s="100">
        <v>5</v>
      </c>
      <c r="FG12" s="143">
        <f t="shared" si="32"/>
        <v>-2.5</v>
      </c>
      <c r="FH12" s="100" t="s">
        <v>11</v>
      </c>
      <c r="FI12" s="220">
        <f t="shared" si="81"/>
        <v>0</v>
      </c>
      <c r="FJ12" s="100">
        <v>6</v>
      </c>
      <c r="FK12" s="143">
        <f t="shared" si="33"/>
        <v>-3</v>
      </c>
      <c r="FL12" s="163">
        <f t="shared" si="82"/>
        <v>1</v>
      </c>
    </row>
    <row r="13" spans="1:168" x14ac:dyDescent="0.2">
      <c r="A13" t="s">
        <v>105</v>
      </c>
      <c r="B13" t="s">
        <v>106</v>
      </c>
      <c r="AU13" s="99" t="s">
        <v>12</v>
      </c>
      <c r="AV13" s="72">
        <f t="shared" si="99"/>
        <v>6</v>
      </c>
      <c r="AW13" s="100">
        <v>4</v>
      </c>
      <c r="AX13" s="143">
        <f t="shared" si="50"/>
        <v>4</v>
      </c>
      <c r="AY13" s="100" t="s">
        <v>14</v>
      </c>
      <c r="AZ13" s="72">
        <f t="shared" si="100"/>
        <v>6</v>
      </c>
      <c r="BA13" s="100">
        <v>0</v>
      </c>
      <c r="BB13" s="143">
        <f t="shared" si="94"/>
        <v>6</v>
      </c>
      <c r="BC13" s="99" t="s">
        <v>14</v>
      </c>
      <c r="BD13" s="72">
        <f t="shared" si="101"/>
        <v>2</v>
      </c>
      <c r="BE13" s="100">
        <v>2</v>
      </c>
      <c r="BF13" s="143">
        <f t="shared" si="95"/>
        <v>1</v>
      </c>
      <c r="BG13" s="99" t="s">
        <v>14</v>
      </c>
      <c r="BH13" s="72">
        <f t="shared" si="102"/>
        <v>6</v>
      </c>
      <c r="BI13" s="100">
        <v>3</v>
      </c>
      <c r="BJ13" s="143">
        <f t="shared" si="96"/>
        <v>4.5</v>
      </c>
      <c r="BK13" s="99" t="s">
        <v>11</v>
      </c>
      <c r="BL13" s="72">
        <f t="shared" ref="BL13" si="103">IF(OR(BN$3="", BN$4=""),"", IF(BK13=BK$3, IF(BL$3=BN$3, $B$3, IF(BL$3&gt;BN$3, $B$2, $B$4)),
 IF(BK13=BM$3, IF(BN$3=BL$3, $B$3, IF(BN$3&gt;BL$3, $B$2, $B$4)),
 IF(BK13=BK$4, IF(BL$4=BN$4, $B$3, IF(BL$4&gt;BN$4, $B$2, $B$4)),
 IF(BK13=BM$4, IF(BN$4=BL$4, $B$3, IF(BN$4&gt;BL$4, $B$2, $B$4)), "")))))</f>
        <v>6</v>
      </c>
      <c r="BM13" s="100">
        <v>1</v>
      </c>
      <c r="BN13" s="143">
        <f t="shared" ref="BN13" si="104">BL13-($B$5*BM13)</f>
        <v>5.5</v>
      </c>
      <c r="BO13" s="160">
        <f t="shared" ref="BO13" si="105">SUM(AX13,BB13,BF13,BJ13,BN13)</f>
        <v>21</v>
      </c>
      <c r="BW13" s="78"/>
      <c r="CJ13" s="128"/>
      <c r="DB13" s="16"/>
    </row>
    <row r="15" spans="1:168" x14ac:dyDescent="0.2">
      <c r="AL15" s="47" t="s">
        <v>8</v>
      </c>
      <c r="AM15" s="48" t="s">
        <v>27</v>
      </c>
      <c r="AN15" s="48" t="s">
        <v>16</v>
      </c>
      <c r="AO15" s="48" t="s">
        <v>28</v>
      </c>
      <c r="AP15" s="47" t="s">
        <v>8</v>
      </c>
      <c r="AQ15" s="48" t="s">
        <v>27</v>
      </c>
      <c r="AR15" s="48" t="s">
        <v>16</v>
      </c>
      <c r="AS15" s="49" t="s">
        <v>28</v>
      </c>
      <c r="AU15" s="1" t="s">
        <v>14</v>
      </c>
      <c r="AV15">
        <v>6</v>
      </c>
      <c r="AW15" s="1">
        <v>1</v>
      </c>
      <c r="BC15" t="s">
        <v>11</v>
      </c>
      <c r="BD15">
        <v>6</v>
      </c>
      <c r="BE15">
        <v>2</v>
      </c>
      <c r="BK15" t="s">
        <v>12</v>
      </c>
      <c r="BL15">
        <v>0</v>
      </c>
      <c r="BM15">
        <v>7</v>
      </c>
    </row>
    <row r="16" spans="1:168" x14ac:dyDescent="0.2">
      <c r="AL16" s="28" t="s">
        <v>15</v>
      </c>
      <c r="AM16" s="16">
        <f t="shared" ref="AM16:AM20" si="106">IF(OR(AO$3="", AO$4=""),"", IF(AL16=AL$3, IF(AM$3=AO$3, $B$3, IF(AM$3&gt;AO$3, $B$2, $B$4)),
 IF(AL16=AN$3, IF(AO$3=AM$3, $B$3, IF(AO$3&gt;AM$3, $B$2, $B$4)),
 IF(AL16=AL$4, IF(AM$4=AO$4, $B$3, IF(AM$4&gt;AO$4, $B$2, $B$4)),
 IF(AL16=AN$4, IF(AO$4=AM$4, $B$3, IF(AO$4&gt;AM$4, $B$2, $B$4)), "")))))</f>
        <v>2</v>
      </c>
      <c r="AN16" s="27">
        <v>4</v>
      </c>
      <c r="AO16" s="1">
        <f>AM16-($B$5*AN16)</f>
        <v>0</v>
      </c>
      <c r="AP16" s="28" t="s">
        <v>14</v>
      </c>
      <c r="AQ16" s="16">
        <f t="shared" ref="AQ16:AQ20" si="107">IF(OR(AS$3="", AS$4=""),"", IF(AP16=AP$3, IF(AQ$3=AS$3, $B$3, IF(AQ$3&gt;AS$3, $B$2, $B$4)),
 IF(AP16=AR$3, IF(AS$3=AQ$3, $B$3, IF(AS$3&gt;AQ$3, $B$2, $B$4)),
 IF(AP16=AP$4, IF(AQ$4=AS$4, $B$3, IF(AQ$4&gt;AS$4, $B$2, $B$4)),
 IF(AP16=AR$4, IF(AS$4=AQ$4, $B$3, IF(AS$4&gt;AQ$4, $B$2, $B$4)), "")))))</f>
        <v>6</v>
      </c>
      <c r="AR16" s="27">
        <v>3</v>
      </c>
      <c r="AS16" s="17">
        <f>AQ16-($B$5*AR16)</f>
        <v>4.5</v>
      </c>
    </row>
    <row r="17" spans="38:45" x14ac:dyDescent="0.2">
      <c r="AL17" s="52" t="s">
        <v>11</v>
      </c>
      <c r="AM17" s="53">
        <f t="shared" si="106"/>
        <v>6</v>
      </c>
      <c r="AN17" s="54">
        <v>1</v>
      </c>
      <c r="AO17" s="56">
        <f t="shared" ref="AO17:AO20" si="108">AM17-($B$5*AN17)</f>
        <v>5.5</v>
      </c>
      <c r="AP17" s="28" t="s">
        <v>15</v>
      </c>
      <c r="AQ17" s="16">
        <f t="shared" si="107"/>
        <v>0</v>
      </c>
      <c r="AR17" s="27">
        <v>5</v>
      </c>
      <c r="AS17" s="17">
        <f t="shared" ref="AS17:AS20" si="109">AQ17-($B$5*AR17)</f>
        <v>-2.5</v>
      </c>
    </row>
    <row r="18" spans="38:45" x14ac:dyDescent="0.2">
      <c r="AL18" s="39" t="s">
        <v>11</v>
      </c>
      <c r="AM18" s="40">
        <f t="shared" si="106"/>
        <v>6</v>
      </c>
      <c r="AN18" s="41">
        <v>1</v>
      </c>
      <c r="AO18" s="42">
        <f t="shared" si="108"/>
        <v>5.5</v>
      </c>
      <c r="AP18" s="39" t="s">
        <v>11</v>
      </c>
      <c r="AQ18" s="40">
        <f t="shared" si="107"/>
        <v>0</v>
      </c>
      <c r="AR18" s="41">
        <v>9</v>
      </c>
      <c r="AS18" s="43">
        <f t="shared" si="109"/>
        <v>-4.5</v>
      </c>
    </row>
    <row r="19" spans="38:45" x14ac:dyDescent="0.2">
      <c r="AL19" s="28" t="s">
        <v>14</v>
      </c>
      <c r="AM19" s="16">
        <f t="shared" si="106"/>
        <v>2</v>
      </c>
      <c r="AN19" s="27">
        <v>4</v>
      </c>
      <c r="AO19" s="1">
        <f t="shared" si="108"/>
        <v>0</v>
      </c>
      <c r="AP19" s="52" t="s">
        <v>11</v>
      </c>
      <c r="AQ19" s="53">
        <f t="shared" si="107"/>
        <v>0</v>
      </c>
      <c r="AR19" s="54">
        <v>9</v>
      </c>
      <c r="AS19" s="55">
        <f t="shared" si="109"/>
        <v>-4.5</v>
      </c>
    </row>
    <row r="20" spans="38:45" x14ac:dyDescent="0.2">
      <c r="AL20" s="29" t="s">
        <v>12</v>
      </c>
      <c r="AM20" s="19">
        <f t="shared" si="106"/>
        <v>0</v>
      </c>
      <c r="AN20" s="30">
        <v>5</v>
      </c>
      <c r="AO20" s="20">
        <f t="shared" si="108"/>
        <v>-2.5</v>
      </c>
      <c r="AP20" s="29" t="s">
        <v>12</v>
      </c>
      <c r="AQ20" s="19">
        <f t="shared" si="107"/>
        <v>6</v>
      </c>
      <c r="AR20" s="30">
        <v>3</v>
      </c>
      <c r="AS20" s="21">
        <f t="shared" si="109"/>
        <v>4.5</v>
      </c>
    </row>
  </sheetData>
  <mergeCells count="39">
    <mergeCell ref="EV1:EY1"/>
    <mergeCell ref="EZ1:FC1"/>
    <mergeCell ref="FD1:FG1"/>
    <mergeCell ref="FH1:FK1"/>
    <mergeCell ref="EA1:ED1"/>
    <mergeCell ref="EE1:EH1"/>
    <mergeCell ref="EI1:EL1"/>
    <mergeCell ref="EM1:EP1"/>
    <mergeCell ref="EQ1:ET1"/>
    <mergeCell ref="DF1:DI1"/>
    <mergeCell ref="DJ1:DM1"/>
    <mergeCell ref="DN1:DQ1"/>
    <mergeCell ref="DR1:DU1"/>
    <mergeCell ref="DV1:DY1"/>
    <mergeCell ref="CK1:CN1"/>
    <mergeCell ref="CO1:CR1"/>
    <mergeCell ref="CS1:CV1"/>
    <mergeCell ref="CW1:CZ1"/>
    <mergeCell ref="DA1:DD1"/>
    <mergeCell ref="BP1:BS1"/>
    <mergeCell ref="BT1:BW1"/>
    <mergeCell ref="BX1:CA1"/>
    <mergeCell ref="CB1:CE1"/>
    <mergeCell ref="CF1:CI1"/>
    <mergeCell ref="AU1:AX1"/>
    <mergeCell ref="AY1:BB1"/>
    <mergeCell ref="BC1:BF1"/>
    <mergeCell ref="BG1:BJ1"/>
    <mergeCell ref="BK1:BN1"/>
    <mergeCell ref="E1:H1"/>
    <mergeCell ref="I1:L1"/>
    <mergeCell ref="M1:P1"/>
    <mergeCell ref="Q1:T1"/>
    <mergeCell ref="U1:X1"/>
    <mergeCell ref="Z1:AC1"/>
    <mergeCell ref="AD1:AG1"/>
    <mergeCell ref="AH1:AK1"/>
    <mergeCell ref="AL1:AO1"/>
    <mergeCell ref="AP1:AS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BC53-4883-4B05-9B8D-A0C00ACA7284}">
  <sheetPr>
    <pageSetUpPr fitToPage="1"/>
  </sheetPr>
  <dimension ref="A1:K6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10.83203125" style="1" bestFit="1" customWidth="1"/>
    <col min="2" max="2" width="9.1640625" style="1"/>
    <col min="3" max="10" width="9.1640625" style="78"/>
    <col min="11" max="11" width="9.1640625" style="224"/>
  </cols>
  <sheetData>
    <row r="1" spans="1:11" x14ac:dyDescent="0.2">
      <c r="A1" s="50" t="s">
        <v>23</v>
      </c>
      <c r="B1" s="51" t="s">
        <v>24</v>
      </c>
      <c r="C1" s="137" t="s">
        <v>18</v>
      </c>
      <c r="D1" s="138" t="s">
        <v>19</v>
      </c>
      <c r="E1" s="139" t="s">
        <v>20</v>
      </c>
      <c r="F1" s="138" t="s">
        <v>21</v>
      </c>
      <c r="G1" s="139" t="s">
        <v>22</v>
      </c>
      <c r="H1" s="138" t="s">
        <v>88</v>
      </c>
      <c r="I1" s="139" t="s">
        <v>89</v>
      </c>
      <c r="J1" s="137" t="s">
        <v>90</v>
      </c>
      <c r="K1" s="221" t="s">
        <v>28</v>
      </c>
    </row>
    <row r="2" spans="1:11" x14ac:dyDescent="0.2">
      <c r="A2" s="15" t="s">
        <v>102</v>
      </c>
      <c r="B2" s="182" t="s">
        <v>103</v>
      </c>
      <c r="C2" s="80">
        <f>GKs!Y11</f>
        <v>7.5</v>
      </c>
      <c r="D2" s="79">
        <f>GKs!AT11</f>
        <v>10.5</v>
      </c>
      <c r="E2" s="194">
        <f ca="1">GKs!BO11</f>
        <v>5.7419354838709689</v>
      </c>
      <c r="F2" s="79">
        <f>GKs!CJ11</f>
        <v>20.5</v>
      </c>
      <c r="G2" s="181">
        <f>GKs!DE11</f>
        <v>-1</v>
      </c>
      <c r="H2" s="79">
        <f>GKs!DZ11</f>
        <v>-3</v>
      </c>
      <c r="I2" s="203">
        <f ca="1">GKs!EU11</f>
        <v>5.7419354838709689</v>
      </c>
      <c r="J2" s="80">
        <f ca="1">GKs!FL11</f>
        <v>15.741935483870968</v>
      </c>
      <c r="K2" s="222">
        <f ca="1">SUM(C2:J2)</f>
        <v>61.725806451612904</v>
      </c>
    </row>
    <row r="3" spans="1:11" x14ac:dyDescent="0.2">
      <c r="A3" s="15" t="s">
        <v>104</v>
      </c>
      <c r="B3" s="1" t="s">
        <v>81</v>
      </c>
      <c r="C3" s="80">
        <f>GKs!Y12</f>
        <v>12.5</v>
      </c>
      <c r="D3" s="79">
        <f>GKs!AT12</f>
        <v>-2.5</v>
      </c>
      <c r="E3" s="78">
        <f>GKs!BO12</f>
        <v>-4.5</v>
      </c>
      <c r="F3" s="79">
        <f>GKs!CJ12</f>
        <v>6</v>
      </c>
      <c r="G3" s="78">
        <f>GKs!DE12</f>
        <v>11.5</v>
      </c>
      <c r="H3" s="79">
        <f>GKs!DZ12</f>
        <v>9</v>
      </c>
      <c r="I3" s="78">
        <f>GKs!EU12</f>
        <v>3</v>
      </c>
      <c r="J3" s="80">
        <f>GKs!FL12</f>
        <v>1</v>
      </c>
      <c r="K3" s="222">
        <f>SUM(C3:J3)</f>
        <v>36</v>
      </c>
    </row>
    <row r="4" spans="1:11" x14ac:dyDescent="0.2">
      <c r="A4" s="15" t="s">
        <v>100</v>
      </c>
      <c r="B4" s="1" t="s">
        <v>101</v>
      </c>
      <c r="C4" s="80">
        <f>GKs!Y10</f>
        <v>6</v>
      </c>
      <c r="D4" s="79">
        <f ca="1">GKs!AT10</f>
        <v>9.7222222222222214</v>
      </c>
      <c r="E4" s="78">
        <f>GKs!BO10</f>
        <v>-12.5</v>
      </c>
      <c r="F4" s="79">
        <f>GKs!CJ10</f>
        <v>3.5</v>
      </c>
      <c r="G4" s="78">
        <f>GKs!DE10</f>
        <v>13.5</v>
      </c>
      <c r="H4" s="79">
        <f>GKs!DZ10</f>
        <v>3.5</v>
      </c>
      <c r="I4" s="78">
        <f ca="1">GKs!EU10</f>
        <v>4.6111111111111107</v>
      </c>
      <c r="J4" s="80">
        <f ca="1">GKs!FL10</f>
        <v>0.11111111111111072</v>
      </c>
      <c r="K4" s="222">
        <f ca="1">SUM(C4:J4)</f>
        <v>28.444444444444443</v>
      </c>
    </row>
    <row r="5" spans="1:11" x14ac:dyDescent="0.2">
      <c r="A5" s="15" t="s">
        <v>98</v>
      </c>
      <c r="B5" s="1" t="s">
        <v>99</v>
      </c>
      <c r="C5" s="80">
        <f>GKs!Y9</f>
        <v>11</v>
      </c>
      <c r="D5" s="79">
        <f>GKs!AT9</f>
        <v>-1</v>
      </c>
      <c r="E5" s="86">
        <f ca="1">GKs!BO9</f>
        <v>0.87684729064039502</v>
      </c>
      <c r="F5" s="181">
        <f>GKs!CJ9</f>
        <v>4</v>
      </c>
      <c r="G5" s="78">
        <f>GKs!DE9</f>
        <v>-6</v>
      </c>
      <c r="H5" s="181">
        <f ca="1">GKs!DZ9</f>
        <v>1.4384236453201975</v>
      </c>
      <c r="I5" s="78">
        <f>GKs!EU9</f>
        <v>-1</v>
      </c>
      <c r="J5" s="175">
        <f ca="1">GKs!FL9</f>
        <v>-0.12315270935960498</v>
      </c>
      <c r="K5" s="222">
        <f ca="1">SUM(C5:J5)</f>
        <v>9.1921182266009875</v>
      </c>
    </row>
    <row r="6" spans="1:11" x14ac:dyDescent="0.2">
      <c r="A6" s="18" t="s">
        <v>95</v>
      </c>
      <c r="B6" s="20" t="s">
        <v>96</v>
      </c>
      <c r="C6" s="140">
        <f>GKs!Y8</f>
        <v>-11</v>
      </c>
      <c r="D6" s="141">
        <f>GKs!AT8</f>
        <v>2.5</v>
      </c>
      <c r="E6" s="90">
        <f>GKs!BO8</f>
        <v>5.5</v>
      </c>
      <c r="F6" s="79">
        <f>GKs!CJ8</f>
        <v>-12</v>
      </c>
      <c r="G6" s="90">
        <f>GKs!DE8</f>
        <v>1.5</v>
      </c>
      <c r="H6" s="90">
        <f>GKs!DZ8</f>
        <v>10</v>
      </c>
      <c r="I6" s="90">
        <f>GKs!EU8</f>
        <v>-2.5</v>
      </c>
      <c r="J6" s="140">
        <f>GKs!FL8</f>
        <v>12.5</v>
      </c>
      <c r="K6" s="223">
        <f>SUM(C6:J6)</f>
        <v>6.5</v>
      </c>
    </row>
  </sheetData>
  <pageMargins left="0.7" right="0.7" top="0.75" bottom="0.75" header="0.3" footer="0.3"/>
  <pageSetup scale="83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3EED-0E9D-E047-874C-26EFA106EDB9}">
  <dimension ref="A1:K6"/>
  <sheetViews>
    <sheetView tabSelected="1" workbookViewId="0">
      <selection activeCell="F16" sqref="F16"/>
    </sheetView>
  </sheetViews>
  <sheetFormatPr baseColWidth="10" defaultColWidth="11.5" defaultRowHeight="15" x14ac:dyDescent="0.2"/>
  <cols>
    <col min="11" max="11" width="11.5" style="225"/>
  </cols>
  <sheetData>
    <row r="1" spans="1:11" x14ac:dyDescent="0.2">
      <c r="A1" s="50" t="s">
        <v>23</v>
      </c>
      <c r="B1" s="51" t="s">
        <v>24</v>
      </c>
      <c r="C1" s="137" t="s">
        <v>18</v>
      </c>
      <c r="D1" s="138" t="s">
        <v>19</v>
      </c>
      <c r="E1" s="139" t="s">
        <v>20</v>
      </c>
      <c r="F1" s="138" t="s">
        <v>21</v>
      </c>
      <c r="G1" s="139" t="s">
        <v>22</v>
      </c>
      <c r="H1" s="138" t="s">
        <v>88</v>
      </c>
      <c r="I1" s="139" t="s">
        <v>89</v>
      </c>
      <c r="J1" s="137" t="s">
        <v>90</v>
      </c>
      <c r="K1" s="221" t="s">
        <v>28</v>
      </c>
    </row>
    <row r="2" spans="1:11" x14ac:dyDescent="0.2">
      <c r="A2" s="15" t="s">
        <v>102</v>
      </c>
      <c r="B2" s="1" t="s">
        <v>103</v>
      </c>
      <c r="C2" s="80">
        <f>GKs!G12+GKs!K12+GKs!O12+GKs!S12+GKs!W12</f>
        <v>11</v>
      </c>
      <c r="D2" s="79">
        <f>GKs!AB11+GKs!AF11+GKs!AJ11+GKs!AN11+GKs!AR11</f>
        <v>11</v>
      </c>
      <c r="E2" s="194">
        <f ca="1">GKs!AW11+GKs!BA11+GKs!BE11+GKs!BI11+GKs!BM11</f>
        <v>8.6451612903225783</v>
      </c>
      <c r="F2" s="79">
        <f>GKs!BR11+GKs!BV11+GKs!BZ11+GKs!CD11+GKs!CH11</f>
        <v>7</v>
      </c>
      <c r="G2" s="181">
        <f>GKs!CM11+GKs!CQ11+GKs!CU11+GKs!CY11+GKs!DC11</f>
        <v>14</v>
      </c>
      <c r="H2" s="79">
        <f>GKs!DH11+GKs!DL11+GKs!DP11+GKs!DT11+GKs!DX11</f>
        <v>18</v>
      </c>
      <c r="I2" s="203">
        <f ca="1">GKs!EC11+GKs!EG11+GKs!EK11+GKs!EO11+GKs!ES11</f>
        <v>8.6451612903225783</v>
      </c>
      <c r="J2" s="80">
        <f>GKs!EX11+GKs!FB11+GKs!FF11+GKs!FJ11</f>
        <v>8</v>
      </c>
      <c r="K2" s="222">
        <f ca="1">SUM(C2:J2)</f>
        <v>86.290322580645153</v>
      </c>
    </row>
    <row r="3" spans="1:11" x14ac:dyDescent="0.2">
      <c r="A3" s="15" t="s">
        <v>104</v>
      </c>
      <c r="B3" s="182" t="s">
        <v>81</v>
      </c>
      <c r="C3" s="80">
        <f>GKs!G11+GKs!K11+GKs!O11+GKs!S11+GKs!W11</f>
        <v>9</v>
      </c>
      <c r="D3" s="79">
        <f>GKs!AB12+GKs!AF12+GKs!AJ12+GKs!AN12+GKs!AR12</f>
        <v>17</v>
      </c>
      <c r="E3" s="181">
        <f>GKs!AW12+GKs!BA12+GKs!BE12+GKs!BI12+GKs!BM12</f>
        <v>17</v>
      </c>
      <c r="F3" s="79">
        <f>GKs!BR12+GKs!BV12+GKs!BZ12+GKs!CD12+GKs!CH12</f>
        <v>12</v>
      </c>
      <c r="G3" s="181">
        <f>GKs!CM12+GKs!CQ12+GKs!CU12+GKs!CY12+GKs!DC12</f>
        <v>13</v>
      </c>
      <c r="H3" s="79">
        <f>GKs!DH12+GKs!DL12+GKs!DP12+GKs!DT12+GKs!DX12</f>
        <v>18</v>
      </c>
      <c r="I3" s="181">
        <f>GKs!EC12+GKs!EG12+GKs!EK12+GKs!EO12+GKs!ES12</f>
        <v>14</v>
      </c>
      <c r="J3" s="80">
        <f>GKs!EX12+GKs!FB12+GKs!FF12+GKs!FJ12</f>
        <v>16</v>
      </c>
      <c r="K3" s="222">
        <f>SUM(C3:J3)</f>
        <v>116</v>
      </c>
    </row>
    <row r="4" spans="1:11" x14ac:dyDescent="0.2">
      <c r="A4" s="15" t="s">
        <v>98</v>
      </c>
      <c r="B4" s="182" t="s">
        <v>99</v>
      </c>
      <c r="C4" s="80">
        <f>GKs!G9+GKs!K9+GKs!O9+GKs!S9+GKs!W9</f>
        <v>14</v>
      </c>
      <c r="D4" s="79">
        <f>GKs!AB9+GKs!AF9+GKs!AJ9+GKs!AN9+GKs!AR9</f>
        <v>14</v>
      </c>
      <c r="E4" s="203">
        <f ca="1">GKs!AW9+GKs!BA9+GKs!BE9+GKs!BI9+GKs!BM9</f>
        <v>13.142857142857137</v>
      </c>
      <c r="F4" s="79">
        <f>GKs!BR9+GKs!BV9+GKs!BZ9+GKs!CD9+GKs!CH9</f>
        <v>16</v>
      </c>
      <c r="G4" s="181">
        <f>GKs!CM9+GKs!CQ9+GKs!CU9+GKs!CY9+GKs!DC9</f>
        <v>20</v>
      </c>
      <c r="H4" s="79">
        <f ca="1">GKs!DH9+GKs!DL9+GKs!DP9+GKs!DT9+GKs!DX9</f>
        <v>16.571428571428569</v>
      </c>
      <c r="I4" s="181">
        <f>GKs!EC9+GKs!EG9+GKs!EK9+GKs!EO9+GKs!ES9</f>
        <v>18</v>
      </c>
      <c r="J4" s="175">
        <f ca="1">GKs!EX9+GKs!FB9+GKs!FF9+GKs!FJ9</f>
        <v>13.142857142857137</v>
      </c>
      <c r="K4" s="222">
        <f ca="1">SUM(C4:J4)</f>
        <v>124.85714285714285</v>
      </c>
    </row>
    <row r="5" spans="1:11" x14ac:dyDescent="0.2">
      <c r="A5" s="18" t="s">
        <v>100</v>
      </c>
      <c r="B5" s="20" t="s">
        <v>101</v>
      </c>
      <c r="C5" s="140">
        <f>GKs!G10+GKs!K10+GKs!O10+GKs!S10+GKs!W10</f>
        <v>12</v>
      </c>
      <c r="D5" s="141">
        <f ca="1">GKs!AB10+GKs!AF10+GKs!AJ10+GKs!AN10+GKs!AR10</f>
        <v>13.444444444444443</v>
      </c>
      <c r="E5" s="90">
        <f>GKs!AW10+GKs!BA10+GKs!BE10+GKs!BI10+GKs!BM10</f>
        <v>25</v>
      </c>
      <c r="F5" s="79">
        <f>GKs!BR10+GKs!BV10+GKs!BZ10+GKs!CD10+GKs!CH10</f>
        <v>17</v>
      </c>
      <c r="G5" s="90">
        <f>GKs!CM10+GKs!CQ10+GKs!CU10+GKs!CY10+GKs!DC10</f>
        <v>9</v>
      </c>
      <c r="H5" s="141">
        <f>GKs!DH10+GKs!DL10+GKs!DP10+GKs!DT10+GKs!DX10</f>
        <v>17</v>
      </c>
      <c r="I5" s="90">
        <f ca="1">GKs!EC10+GKs!EG10+GKs!EK10+GKs!EO10+GKs!ES10</f>
        <v>15.222222222222221</v>
      </c>
      <c r="J5" s="140">
        <f>GKs!EX10+GKs!FB10+GKs!FF10+GKs!FJ10</f>
        <v>17</v>
      </c>
      <c r="K5" s="223">
        <f ca="1">SUM(C5:J5)</f>
        <v>125.66666666666666</v>
      </c>
    </row>
    <row r="6" spans="1:11" x14ac:dyDescent="0.2">
      <c r="A6" s="15" t="s">
        <v>95</v>
      </c>
      <c r="B6" s="1" t="s">
        <v>96</v>
      </c>
      <c r="C6" s="79">
        <f>GKs!G8+GKs!K8+GKs!O8+GKs!S8+GKs!W8</f>
        <v>22</v>
      </c>
      <c r="D6" s="79">
        <f>GKs!AB8+GKs!AF8+GKs!AJ8+GKs!AN8+GKs!AR8</f>
        <v>15</v>
      </c>
      <c r="E6" s="79">
        <f>GKs!AW8+GKs!BA8+GKs!BE8+GKs!BI8+GKs!BM8</f>
        <v>17</v>
      </c>
      <c r="F6" s="79">
        <f>GKs!BR8+GKs!BV8+GKs!BZ8+GKs!CD8+GKs!CH8</f>
        <v>24</v>
      </c>
      <c r="G6" s="79">
        <f>GKs!CM8+GKs!CQ8+GKs!CU8+GKs!CY8+GKs!DC8</f>
        <v>17</v>
      </c>
      <c r="H6" s="79">
        <f>GKs!DH8+GKs!DL8+GKs!DP8+GKs!DT8+GKs!DX8</f>
        <v>16</v>
      </c>
      <c r="I6" s="79">
        <f>GKs!EC8+GKs!EG8+GKs!EK8+GKs!EO8+GKs!ES8</f>
        <v>17</v>
      </c>
      <c r="J6" s="79">
        <f>GKs!EX8+GKs!FB8+GKs!FF8+GKs!FJ8</f>
        <v>10</v>
      </c>
      <c r="K6" s="222">
        <f>SUM(C6:J6)</f>
        <v>138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96ec499-0f24-4fd9-b691-252a2884ef3b}" enabled="0" method="" siteId="{696ec499-0f24-4fd9-b691-252a2884ef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Field Players</vt:lpstr>
      <vt:lpstr>Field Player Totals</vt:lpstr>
      <vt:lpstr>Field Player Goals</vt:lpstr>
      <vt:lpstr>GKs</vt:lpstr>
      <vt:lpstr>GK Totals</vt:lpstr>
      <vt:lpstr>GK Goals Against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Kate Wagner</cp:lastModifiedBy>
  <cp:revision/>
  <dcterms:created xsi:type="dcterms:W3CDTF">2025-08-20T03:09:22Z</dcterms:created>
  <dcterms:modified xsi:type="dcterms:W3CDTF">2025-11-17T18:40:15Z</dcterms:modified>
  <cp:category/>
  <cp:contentStatus/>
</cp:coreProperties>
</file>